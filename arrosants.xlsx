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\Documents\ASA du Paillon\ANNEE 2025\DOSSIERS FICHIERS  ARROSANTS\"/>
    </mc:Choice>
  </mc:AlternateContent>
  <xr:revisionPtr revIDLastSave="0" documentId="13_ncr:1_{F4BB083A-949B-4457-842D-9C84294547A9}" xr6:coauthVersionLast="47" xr6:coauthVersionMax="47" xr10:uidLastSave="{00000000-0000-0000-0000-000000000000}"/>
  <bookViews>
    <workbookView xWindow="-108" yWindow="-108" windowWidth="23256" windowHeight="12456" tabRatio="496" xr2:uid="{00000000-000D-0000-FFFF-FFFF00000000}"/>
  </bookViews>
  <sheets>
    <sheet name="Arrosants" sheetId="1" r:id="rId1"/>
    <sheet name="Feuille Pres" sheetId="2" r:id="rId2"/>
    <sheet name="Tarifs 40%" sheetId="3" r:id="rId3"/>
    <sheet name="Base tarifs" sheetId="4" r:id="rId4"/>
  </sheets>
  <definedNames>
    <definedName name="_xlnm._FilterDatabase" localSheetId="0" hidden="1">Arrosants!$C$1:$O$205</definedName>
    <definedName name="_xlnm.Print_Area" localSheetId="0">Arrosants!$C$1:$L$205</definedName>
    <definedName name="_xlnm.Print_Area" localSheetId="1">'Feuille Pres'!$A$1:$E$205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5" i="1" l="1"/>
  <c r="M145" i="1" s="1"/>
  <c r="L114" i="1"/>
  <c r="M114" i="1" s="1"/>
  <c r="L101" i="1"/>
  <c r="M101" i="1" s="1"/>
  <c r="L70" i="1"/>
  <c r="M70" i="1" s="1"/>
  <c r="F6" i="4"/>
  <c r="F7" i="4"/>
  <c r="F8" i="4"/>
  <c r="F9" i="4"/>
  <c r="F10" i="4"/>
  <c r="F11" i="4"/>
  <c r="F12" i="4"/>
  <c r="F13" i="4"/>
  <c r="F14" i="4"/>
  <c r="F15" i="4"/>
  <c r="F16" i="4"/>
  <c r="F5" i="4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43" i="1"/>
  <c r="M143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4" i="1"/>
  <c r="M144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2" i="1"/>
  <c r="M2" i="1" s="1"/>
  <c r="N199" i="1"/>
  <c r="M199" i="1"/>
  <c r="M200" i="1"/>
  <c r="M201" i="1"/>
  <c r="M202" i="1"/>
  <c r="M203" i="1"/>
  <c r="M204" i="1"/>
  <c r="L198" i="1" l="1"/>
  <c r="M205" i="1"/>
</calcChain>
</file>

<file path=xl/sharedStrings.xml><?xml version="1.0" encoding="utf-8"?>
<sst xmlns="http://schemas.openxmlformats.org/spreadsheetml/2006/main" count="1767" uniqueCount="732">
  <si>
    <t>Nom</t>
  </si>
  <si>
    <t>Rue</t>
  </si>
  <si>
    <t>Quartier</t>
  </si>
  <si>
    <t>Code</t>
  </si>
  <si>
    <t>Ville</t>
  </si>
  <si>
    <t>Numéro des parcelles</t>
  </si>
  <si>
    <t>m2</t>
  </si>
  <si>
    <t>AGUIAR FONSECA  Armindo</t>
  </si>
  <si>
    <t>5011, Bd de la Vallée</t>
  </si>
  <si>
    <t>06440</t>
  </si>
  <si>
    <t>PEILLON</t>
  </si>
  <si>
    <t>C 1269 Les Novaines</t>
  </si>
  <si>
    <t>45, Boulevard Jean Behra</t>
  </si>
  <si>
    <t>BORGHEAS</t>
  </si>
  <si>
    <t>06100</t>
  </si>
  <si>
    <t>NICE</t>
  </si>
  <si>
    <t>C 1555 C 1556  Le Plan</t>
  </si>
  <si>
    <t>ALLISIO  ANTOINE</t>
  </si>
  <si>
    <t>C 1087 Les Novaines</t>
  </si>
  <si>
    <t>AMBERT Nicolas  &amp;  VALLADOU Jennifer</t>
  </si>
  <si>
    <t>5501 Bld de la Vallée</t>
  </si>
  <si>
    <t>LES NOVAINES</t>
  </si>
  <si>
    <t>C 912 , C1349</t>
  </si>
  <si>
    <t>ARMANDO  JOSEPH</t>
  </si>
  <si>
    <t>chez Mr CENTINI Guido</t>
  </si>
  <si>
    <t>C 1089 Les Novaines</t>
  </si>
  <si>
    <t>ASENCIO  Pierre</t>
  </si>
  <si>
    <t>33 Ave Denis  Semeria</t>
  </si>
  <si>
    <t>06300</t>
  </si>
  <si>
    <t>C 1185 Les Près</t>
  </si>
  <si>
    <t>AUSELO  CHRISTOPHE</t>
  </si>
  <si>
    <t>STE THECLE</t>
  </si>
  <si>
    <t>06730</t>
  </si>
  <si>
    <t>B 491 Ste Thècle</t>
  </si>
  <si>
    <t>BAIO JACQUES</t>
  </si>
  <si>
    <t>65 RUE DES SOURCES</t>
  </si>
  <si>
    <t>B 478,481 Ste Thècle</t>
  </si>
  <si>
    <t>BALLAREL ANDRÉ</t>
  </si>
  <si>
    <t>526 PDE A. PASSERON</t>
  </si>
  <si>
    <t>C 173 Le Plan de Borghéas(250m)</t>
  </si>
  <si>
    <t>BALLAREL LOUIS</t>
  </si>
  <si>
    <t>16, avenue MENDIGUREN</t>
  </si>
  <si>
    <t>06000</t>
  </si>
  <si>
    <t>C 172 Le Plan Borghéas</t>
  </si>
  <si>
    <t>BARELLI Jacques</t>
  </si>
  <si>
    <t>187 route de CHATEAUNEUF</t>
  </si>
  <si>
    <t>Quartier La Lèbre</t>
  </si>
  <si>
    <t>06390</t>
  </si>
  <si>
    <t>BENDEJUN</t>
  </si>
  <si>
    <t>BARONI Jean Paul</t>
  </si>
  <si>
    <t>4727 ROUTE DE ST JEANNET</t>
  </si>
  <si>
    <t>06700</t>
  </si>
  <si>
    <t>ST LAURENT DU VAR</t>
  </si>
  <si>
    <t>C 1232,1235,1236,1237 Les Novaines</t>
  </si>
  <si>
    <t>BARRIERE  YVETTE</t>
  </si>
  <si>
    <t>254, CHE RIBA DAU PAIOUN</t>
  </si>
  <si>
    <t>LES PRES</t>
  </si>
  <si>
    <t>BASSO JEAN-MARC</t>
  </si>
  <si>
    <t>157, RAYANA SOUTRANA</t>
  </si>
  <si>
    <t>B 288,293,291 292 295 Ste Thècle</t>
  </si>
  <si>
    <t>BEDESCHI CHRISTOPHE</t>
  </si>
  <si>
    <t>631, AVENUE DE L'HOTEL DE VILLE</t>
  </si>
  <si>
    <t>B 419, B420 Ste Thècle</t>
  </si>
  <si>
    <t>BELICCHI MARIE</t>
  </si>
  <si>
    <t>145 AVE MAL LYAUTEY</t>
  </si>
  <si>
    <t>Le Sagittaire Bt B</t>
  </si>
  <si>
    <t>B 441,442 Ste Thècle</t>
  </si>
  <si>
    <t>3502 BD DE LA VALLÉE</t>
  </si>
  <si>
    <t>LES MOULINS</t>
  </si>
  <si>
    <t>B 942 Capeou</t>
  </si>
  <si>
    <t>BELLONE LAURENT</t>
  </si>
  <si>
    <t>5264 BD DE LA VALLÉE</t>
  </si>
  <si>
    <t>STE   THECLE</t>
  </si>
  <si>
    <t>C 1023,1338, les Novaines</t>
  </si>
  <si>
    <t>962 BD DE LA VALLÉE</t>
  </si>
  <si>
    <t>C 176,, Le Plan Borghéas</t>
  </si>
  <si>
    <t>BERIOT  José</t>
  </si>
  <si>
    <t>6, Cité Malesherbes</t>
  </si>
  <si>
    <t>75009</t>
  </si>
  <si>
    <t>PARIS</t>
  </si>
  <si>
    <t>C 1161 Les Novaines</t>
  </si>
  <si>
    <t>BERNARDINI DANIEL</t>
  </si>
  <si>
    <t>199 CH. CANTON SOUBRAN</t>
  </si>
  <si>
    <t>SAINTE-THECLE</t>
  </si>
  <si>
    <t>A 802 le Calpre</t>
  </si>
  <si>
    <t>BERNARDINI MARCEL</t>
  </si>
  <si>
    <t>4 BD ST ROCH</t>
  </si>
  <si>
    <t>B 770,771,772  Chateauvieux</t>
  </si>
  <si>
    <t>BIANCHERI ERIC</t>
  </si>
  <si>
    <t>15, rue des LUCIOLES</t>
  </si>
  <si>
    <t>Villa les IRIS</t>
  </si>
  <si>
    <t>06240</t>
  </si>
  <si>
    <t>BEAUSOLEIL</t>
  </si>
  <si>
    <t>C1136 996 1002 1003 Les Novaines</t>
  </si>
  <si>
    <t>BLANC Eric</t>
  </si>
  <si>
    <t>5160, BOULEVARD DE LA VALLEE</t>
  </si>
  <si>
    <t>C 1051 (893) 1052 (2) 1053 (1040) Les Novaines</t>
  </si>
  <si>
    <t>BODINO JEAN</t>
  </si>
  <si>
    <t>250 route de CHATEAUVIEUX</t>
  </si>
  <si>
    <t>CHATEAUVIEUX</t>
  </si>
  <si>
    <t>B 747  Châteauvieux</t>
  </si>
  <si>
    <t>BOITRAN MARC</t>
  </si>
  <si>
    <t>C 723 (115)  724 (403)</t>
  </si>
  <si>
    <t>BONIN   Wattel</t>
  </si>
  <si>
    <t>5028 Bld  De la Vallée</t>
  </si>
  <si>
    <t>C 1063  1064</t>
  </si>
  <si>
    <t>BONSIGNORI J-PIERRE</t>
  </si>
  <si>
    <t>Les Mimosas 18, rue PLAINE DE CIMIEZ</t>
  </si>
  <si>
    <t>BONZI  Frederic</t>
  </si>
  <si>
    <t>VILLA  FLORE  Bloc  A      3 Av  de VILAINE</t>
  </si>
  <si>
    <t>C  980 (658m2) Les Novaines</t>
  </si>
  <si>
    <t>BONZI J-LAURENT</t>
  </si>
  <si>
    <t>64 RAYANA SOUBRANA</t>
  </si>
  <si>
    <t>B 320  Ste Thècle</t>
  </si>
  <si>
    <t>BONZOM  JEAN PIERRE</t>
  </si>
  <si>
    <t>39, AVENUE DE BUENOS AYRES</t>
  </si>
  <si>
    <t>C 729 (319), 730 (98)  Les Prés</t>
  </si>
  <si>
    <t>BOYER PHILIPPE</t>
  </si>
  <si>
    <t>12,RUE DES SOURCES</t>
  </si>
  <si>
    <t>B 436 Ste Thècle</t>
  </si>
  <si>
    <t>BRESNU  CASIMIR</t>
  </si>
  <si>
    <t>10, BD DE LA REPUBLIQUE</t>
  </si>
  <si>
    <t>B 739  Châteauvieux</t>
  </si>
  <si>
    <t>BRETAGNE  Suzanne</t>
  </si>
  <si>
    <t>1857 Route de Puget</t>
  </si>
  <si>
    <t>ST. LAURENT  DU VAR</t>
  </si>
  <si>
    <t>C 392   Le Plans des Pin</t>
  </si>
  <si>
    <t>BREWAEYS MARC</t>
  </si>
  <si>
    <t>1699 ROUTE DE LEVENS</t>
  </si>
  <si>
    <t>06690</t>
  </si>
  <si>
    <t>TOURRETTE LEVENS</t>
  </si>
  <si>
    <t>C 731,732 les Près</t>
  </si>
  <si>
    <t>BRUNET VERONIQUE</t>
  </si>
  <si>
    <t>70 Avenue Vincent ARNAUD</t>
  </si>
  <si>
    <t>C 397 398 399 Le Plan Borghéas,  C433 748 749 750 751 752  Châteauvieux</t>
  </si>
  <si>
    <t>CABANES   Christine</t>
  </si>
  <si>
    <t>155 Quartier  Rayana Soutrana</t>
  </si>
  <si>
    <t>B 289, 290, 400 (665)  Ste Thècle</t>
  </si>
  <si>
    <t>CALBOCCI GÉRARD</t>
  </si>
  <si>
    <t>455 Route DE CHÂTEAUVIEUX</t>
  </si>
  <si>
    <t xml:space="preserve"> B  780 781  Châteauvieux</t>
  </si>
  <si>
    <t>CALLEGARI  Mme  Jocelyne</t>
  </si>
  <si>
    <t>90, Camin LOU VALADOUN</t>
  </si>
  <si>
    <t>LE MOULIN</t>
  </si>
  <si>
    <t>B 1123  les Moulins</t>
  </si>
  <si>
    <t>CALVIFIORI ROGER</t>
  </si>
  <si>
    <t>C1092 Les Novaines</t>
  </si>
  <si>
    <t>CAMBRA  CHRISTOPHE</t>
  </si>
  <si>
    <t>5028, BD DE LA VALLEE</t>
  </si>
  <si>
    <t>C 1229 1230 (53) 1265 1439 1444 1445 Les Novaines</t>
  </si>
  <si>
    <t>CAMOUS MARCEL</t>
  </si>
  <si>
    <t>42 RAYANA SOUBRANA</t>
  </si>
  <si>
    <t>B 367,369,374,375,377 378 Ste Thècle</t>
  </si>
  <si>
    <t>CANÉ ALFRED</t>
  </si>
  <si>
    <t>4, PLACE DES CIGALUSA</t>
  </si>
  <si>
    <t>B 1251,1253,Ste Thècle</t>
  </si>
  <si>
    <t>CANÉ FRANÇOIS</t>
  </si>
  <si>
    <t>322 CH.MOULIN NEUF</t>
  </si>
  <si>
    <t>GRAVE PEILLE</t>
  </si>
  <si>
    <t>B 365,Ste Thècle</t>
  </si>
  <si>
    <t>CANÉ JEAN</t>
  </si>
  <si>
    <t>B 426  Ste Thècle</t>
  </si>
  <si>
    <t>CARDONE  GUY</t>
  </si>
  <si>
    <t>7, CALADA DAU SERIN</t>
  </si>
  <si>
    <t>C 1561 (135m2) , 1562 (181m2) ,Le Plan</t>
  </si>
  <si>
    <t>CARLETTI  Jacques</t>
  </si>
  <si>
    <t>650 BD DE LA VALLÉE</t>
  </si>
  <si>
    <t xml:space="preserve">  C 182 Borgheas</t>
  </si>
  <si>
    <t>CARLETTO   Jean Marie</t>
  </si>
  <si>
    <t>1 Place du Moulin  Neuf</t>
  </si>
  <si>
    <t>LA GRAVE DE PEILLE</t>
  </si>
  <si>
    <t>C 981,982, les Novaines</t>
  </si>
  <si>
    <t>CASOULI ROBERT</t>
  </si>
  <si>
    <t>230 RIBA DAU PAÏOUN</t>
  </si>
  <si>
    <t>C 709, 1492 Les Près</t>
  </si>
  <si>
    <t>CAUVIN ALAIN</t>
  </si>
  <si>
    <t>21, RAYANA SOUBRANA</t>
  </si>
  <si>
    <t>Ste THECLE</t>
  </si>
  <si>
    <t>347 Ste THECLE</t>
  </si>
  <si>
    <t>CAVALLO  GILBERT</t>
  </si>
  <si>
    <t>703 Chemin de Jallat</t>
  </si>
  <si>
    <t>07800</t>
  </si>
  <si>
    <t>ST LAURENT DU PAPE</t>
  </si>
  <si>
    <t>C 201  LE PLAN de BORGHEAS</t>
  </si>
  <si>
    <t>CENTINI DINO</t>
  </si>
  <si>
    <t>16 CHEMIN DU BOIS</t>
  </si>
  <si>
    <t>C1080,1081,1231,1239 les Novaines</t>
  </si>
  <si>
    <t>CHANTREL BERNARD</t>
  </si>
  <si>
    <t>8 IMPASSE DES VAGUES</t>
  </si>
  <si>
    <t>06340</t>
  </si>
  <si>
    <t>LA TRINITE</t>
  </si>
  <si>
    <t xml:space="preserve"> C ,751 (195),752 (215) 756 (258) Les Prés</t>
  </si>
  <si>
    <t>CHARLEC PASCAL</t>
  </si>
  <si>
    <t>728 AV. HÔTEL DE VILLE</t>
  </si>
  <si>
    <t>B 429,430,433,434 435 Ste Thècle</t>
  </si>
  <si>
    <t>CHARLY   SELEM  M. Mme</t>
  </si>
  <si>
    <t>55 Ancienne Route de Luceram</t>
  </si>
  <si>
    <t>L'ESCARENE</t>
  </si>
  <si>
    <t>C 1025 les Novaines</t>
  </si>
  <si>
    <t>CHIABAUD  MONIQUE</t>
  </si>
  <si>
    <t>157, AV. MARECHAL LYAUTEY  BAT A1</t>
  </si>
  <si>
    <t>C 697, 698</t>
  </si>
  <si>
    <t>CHIABAUD MARCEL</t>
  </si>
  <si>
    <t>8 AVE ROMAIN ROLLAND</t>
  </si>
  <si>
    <t>C 719,725,726,753 les Près</t>
  </si>
  <si>
    <t>CHIABAUT FRANCOIS   C/O CHIABAUT  Antoine</t>
  </si>
  <si>
    <t>140  Ave de la Gare</t>
  </si>
  <si>
    <t>C 1065 les Novaines C 706 les Prés</t>
  </si>
  <si>
    <t>CHIABAUT JEAN</t>
  </si>
  <si>
    <t>7 AVE DU BERCEAU</t>
  </si>
  <si>
    <t>98000</t>
  </si>
  <si>
    <t>MONACO</t>
  </si>
  <si>
    <t>C 682,683,727,728 les Près</t>
  </si>
  <si>
    <t>CHUPIN BAPTISTE</t>
  </si>
  <si>
    <t>5454 BD DE LA VALLÉE</t>
  </si>
  <si>
    <t>C 1246,1347 les Novaines</t>
  </si>
  <si>
    <t>CIPRO BENEDETTO</t>
  </si>
  <si>
    <t>6 BD DE RIQUIER</t>
  </si>
  <si>
    <t xml:space="preserve"> NICE</t>
  </si>
  <si>
    <t>B 778,779 Châteauvieux</t>
  </si>
  <si>
    <t>CLARET  JEAN JACQUES</t>
  </si>
  <si>
    <t>29, AVENUE MARECHAL LYAUTEY</t>
  </si>
  <si>
    <t>B 732,733,736 Châteauvieux</t>
  </si>
  <si>
    <t>CLERISSI  Thérèse</t>
  </si>
  <si>
    <t>121  AV; MARQUISE DE SARAVALLE</t>
  </si>
  <si>
    <t>06450</t>
  </si>
  <si>
    <t>ST MARTIN VESUBIE</t>
  </si>
  <si>
    <t>C 747 Les Près</t>
  </si>
  <si>
    <t>COLOMAS  NICOLAS</t>
  </si>
  <si>
    <t>CHEZ SIMON AUGUSTE  145 AVE CYRILLE  BESSET</t>
  </si>
  <si>
    <t>C 1054 Les Novaines</t>
  </si>
  <si>
    <t>COLOMBINI PATRICK</t>
  </si>
  <si>
    <t>CONTES</t>
  </si>
  <si>
    <t>COLOMBINI ROGER</t>
  </si>
  <si>
    <t>36 camin LOU PRAT-Le Mas Lauranne</t>
  </si>
  <si>
    <t>C 644,671,672,673,674 Les Près</t>
  </si>
  <si>
    <t>COMMUNE PEILLON</t>
  </si>
  <si>
    <t>672 AVE DE L'HÔTEL DE VILLE</t>
  </si>
  <si>
    <t>CORDERO PASCAL</t>
  </si>
  <si>
    <t>270, QUARTIER DES PRES</t>
  </si>
  <si>
    <t>C 644, C645 Les Près</t>
  </si>
  <si>
    <t>CORUZZI JULES</t>
  </si>
  <si>
    <t>5064 BD DE LA VALLÉE</t>
  </si>
  <si>
    <t>C 1049 les Novaines</t>
  </si>
  <si>
    <t>COSI (MME)  Françoise</t>
  </si>
  <si>
    <t>5388 BD DE LA VALLÉE</t>
  </si>
  <si>
    <t>C 1597 les Novaines</t>
  </si>
  <si>
    <t>COUSTAURY Marine  Mme</t>
  </si>
  <si>
    <t>5643  BD de la Vallée</t>
  </si>
  <si>
    <t>Les Novaines</t>
  </si>
  <si>
    <t>C973  c974 c976</t>
  </si>
  <si>
    <t>COUTELA  Bernard</t>
  </si>
  <si>
    <t>5028, Bd de la VALLEE</t>
  </si>
  <si>
    <t>C  1057 1058 1059 Les Novaines</t>
  </si>
  <si>
    <t>COUTELA  THOMAS</t>
  </si>
  <si>
    <t>C 1056 ( 805 )</t>
  </si>
  <si>
    <t>CRÉMIEUX ANTOINE</t>
  </si>
  <si>
    <t>311, CHEMIN CANTOUN SOUBRAN</t>
  </si>
  <si>
    <t>C 963 (423),1442 (733) les Novaines</t>
  </si>
  <si>
    <t>CREMIEUX Jean François</t>
  </si>
  <si>
    <t>44, CHEMIN DE LA GAILLARDE</t>
  </si>
  <si>
    <t>CUCCHIARINI THOMAS  TALEC SYLVIE</t>
  </si>
  <si>
    <t>34 Ave FLIREY</t>
  </si>
  <si>
    <t>C 1019, 1020, 1360,1361  Les Novaines</t>
  </si>
  <si>
    <t>DALBERRA  Albertine</t>
  </si>
  <si>
    <t>88 RAYANA SOUBRANA</t>
  </si>
  <si>
    <t>B 366 Ste Thècle</t>
  </si>
  <si>
    <t>DALMASSO PATRICK</t>
  </si>
  <si>
    <t>37 RUE SCALIERO</t>
  </si>
  <si>
    <t>C 733-734-735-736 les Prés</t>
  </si>
  <si>
    <t>DAMIANO MARGUERITE  Mme</t>
  </si>
  <si>
    <t>1149, ROUTE DE LA BARONNE</t>
  </si>
  <si>
    <t>DE GRIMA Marie-Claude  LE METAIS  Patrice</t>
  </si>
  <si>
    <t>34 Bld Raimbaldi</t>
  </si>
  <si>
    <t>06200</t>
  </si>
  <si>
    <t>B 296(324m²),Ste Thècle</t>
  </si>
  <si>
    <t>DELEUSE FELICITE  Mme</t>
  </si>
  <si>
    <t>87 Route Nationale 2204</t>
  </si>
  <si>
    <t>PONT DE PEILLE</t>
  </si>
  <si>
    <t>BLAUSASC</t>
  </si>
  <si>
    <t>C 192 le Plan Borghéas</t>
  </si>
  <si>
    <t>DELLE CAVE  MONIQUE</t>
  </si>
  <si>
    <t>412, avenue de l'Hôtel de Ville</t>
  </si>
  <si>
    <t>B 788,789,1047 Châteauvieux</t>
  </si>
  <si>
    <t>DELMOTTE HERVE</t>
  </si>
  <si>
    <t>45 RAYANA SOUBRANA</t>
  </si>
  <si>
    <t>B 350 Ste Thècle</t>
  </si>
  <si>
    <t>DELPIAS JEAN PIERRE</t>
  </si>
  <si>
    <t>611  ROUTE DES CLUES</t>
  </si>
  <si>
    <t>PEILLE</t>
  </si>
  <si>
    <t>C 1011,1026 les Novaines</t>
  </si>
  <si>
    <t>C 689 Les Prés</t>
  </si>
  <si>
    <t>DESOBLIN Yannick &amp; PRINCE Murielle</t>
  </si>
  <si>
    <t>5326 Bd de la Vallée</t>
  </si>
  <si>
    <t>C 1001 Les Novaines</t>
  </si>
  <si>
    <t>DOUCHET  Fabrice</t>
  </si>
  <si>
    <t>4990 BD DE LA VALLÉE</t>
  </si>
  <si>
    <t>C 1084,1085,1086 Les Novaines</t>
  </si>
  <si>
    <t>FLORIS MICHEL</t>
  </si>
  <si>
    <t>5614, Bd de la VALLEE</t>
  </si>
  <si>
    <t>Les NOVAINES</t>
  </si>
  <si>
    <t>C 977 Les Novaines</t>
  </si>
  <si>
    <t>FOLINO ROSINA  Mme</t>
  </si>
  <si>
    <t>89 CAMIN LOU RAMPIN</t>
  </si>
  <si>
    <t>C Borghéas  C 121 Le Plan C 175</t>
  </si>
  <si>
    <t>FOULON MICHEL</t>
  </si>
  <si>
    <t>RAYANA SOUTRANA</t>
  </si>
  <si>
    <t>B 312 Ste Thècle</t>
  </si>
  <si>
    <t>GABURRI ROBERT</t>
  </si>
  <si>
    <t>RÉSIDENCE LAUPIA-BÂT.B</t>
  </si>
  <si>
    <t>2, RUE DU GHET</t>
  </si>
  <si>
    <t>ST-ANDRÉ DE LA ROCHE</t>
  </si>
  <si>
    <t>B 746 Châteauvieux</t>
  </si>
  <si>
    <t>GAUTHIER ROLLAND</t>
  </si>
  <si>
    <t>89, CHEMIN DU VALLONET</t>
  </si>
  <si>
    <t>06190</t>
  </si>
  <si>
    <t>ROQUEBRUNE CAP MARTIN</t>
  </si>
  <si>
    <t>C 702,703,707 Les Près</t>
  </si>
  <si>
    <t>GEOFFROY ROBERT</t>
  </si>
  <si>
    <t>196,RAYANA SOUTRANA</t>
  </si>
  <si>
    <t xml:space="preserve"> 356(1470) Ste Thècle</t>
  </si>
  <si>
    <t>GIACALONE HELENE  Mme</t>
  </si>
  <si>
    <t>155  Rayana Soutrana</t>
  </si>
  <si>
    <t>B 294,305,306,308 309  Ste Thècle</t>
  </si>
  <si>
    <t>GIORDAN CHRISTIAN</t>
  </si>
  <si>
    <t>1, AV. SAINT ROMAN</t>
  </si>
  <si>
    <t>GORDA  Jean-Marie &amp; Mme RISSO Yvette</t>
  </si>
  <si>
    <t>80, AVENUE DE LA GARE</t>
  </si>
  <si>
    <t>C 758  C761 Les Prés</t>
  </si>
  <si>
    <t>GORDA  MICHEL</t>
  </si>
  <si>
    <t>156, CHE DU CROUZELIER SOUBRANE</t>
  </si>
  <si>
    <t>B 372 (179)  B 373 (160)  B 396 (250)</t>
  </si>
  <si>
    <t>GORDA CEDRIC</t>
  </si>
  <si>
    <t>156, CHE du CROUZELIER SOUBRANE</t>
  </si>
  <si>
    <t>B 400</t>
  </si>
  <si>
    <t>GRÉCO   YVETTE</t>
  </si>
  <si>
    <t>8, RUE PIE FRANCOIS TOESCA</t>
  </si>
  <si>
    <t>C 1090 Les Novaines</t>
  </si>
  <si>
    <t>GRECO  Yves</t>
  </si>
  <si>
    <t>5, IMPASSE DES POILUS</t>
  </si>
  <si>
    <t>06400</t>
  </si>
  <si>
    <t>CANNES</t>
  </si>
  <si>
    <t>C  1022 Les Novaines    Voir surface a deduire</t>
  </si>
  <si>
    <t>GROUSSEAU ALAIN</t>
  </si>
  <si>
    <t>11 RUE DES SOURCES</t>
  </si>
  <si>
    <t>Ste Thècle B 456</t>
  </si>
  <si>
    <t>GUIDO ROGER</t>
  </si>
  <si>
    <t>961 BD DE LA VALLÉE</t>
  </si>
  <si>
    <t>B 317,318,422,Ste Thècle</t>
  </si>
  <si>
    <t>HALLOUCHE        Eric</t>
  </si>
  <si>
    <t>601   Av  Hôtel de Ville</t>
  </si>
  <si>
    <t>HEBRARD JACK</t>
  </si>
  <si>
    <t>HENRIOT MICHEL</t>
  </si>
  <si>
    <t>21 RAYANA SOUTRANA</t>
  </si>
  <si>
    <t xml:space="preserve">  B 311 Ste Thècle</t>
  </si>
  <si>
    <t>HOFFMAN PHILIPPE</t>
  </si>
  <si>
    <t>95, CAMIN LOU PRAT</t>
  </si>
  <si>
    <t>C 1705,les Prés</t>
  </si>
  <si>
    <t>COGGIA</t>
  </si>
  <si>
    <t>JEAN-LOUIS  Christophe</t>
  </si>
  <si>
    <t>73 BLD Henri SAPPIA</t>
  </si>
  <si>
    <t>C 394 Le Plan des Pins</t>
  </si>
  <si>
    <t>LANDRA  ANGE</t>
  </si>
  <si>
    <t>183, AVENUE DE L'HOTEL DE VILLE</t>
  </si>
  <si>
    <t>B 404, 405 (695)  B 980, 981, 982, 983 (2553) Ste Thècle</t>
  </si>
  <si>
    <t>LANDRA MICHEL</t>
  </si>
  <si>
    <t>138 CAMIN DEI SOURGENT</t>
  </si>
  <si>
    <t>B 363,1114, Ste Thècle</t>
  </si>
  <si>
    <t>C 691,692,Les Près</t>
  </si>
  <si>
    <t>LAURENT Frédèric</t>
  </si>
  <si>
    <t>54, av DU RAY- Domaine FALICON  B 22A</t>
  </si>
  <si>
    <t>C 1270 les Novaines (C1013 &amp; C1014 ) voir surfaces</t>
  </si>
  <si>
    <t>LEDOUBLE-DAMEZET Jeannine</t>
  </si>
  <si>
    <t>95 CAMIN LOU VALADOUN</t>
  </si>
  <si>
    <t>B 1122 Les Moulins</t>
  </si>
  <si>
    <t>LIGUORI Mme Florence</t>
  </si>
  <si>
    <t>57 BD DES DEUX CORNICHES</t>
  </si>
  <si>
    <t>B 437,438 Ste Thècle</t>
  </si>
  <si>
    <t>LOSERO  GILBERT</t>
  </si>
  <si>
    <t>21, Bd HENRI BARBUSSE</t>
  </si>
  <si>
    <t>DRAP</t>
  </si>
  <si>
    <t>LOTTIER HUGUETTE</t>
  </si>
  <si>
    <t>26, Bd CHEMIN DE L'EGLISE</t>
  </si>
  <si>
    <t>LES  NOVAINES</t>
  </si>
  <si>
    <t>C 1083 Les Novaines</t>
  </si>
  <si>
    <t>MARI JEAN-NOEL</t>
  </si>
  <si>
    <t>5000 BD DE LA VALLÉE</t>
  </si>
  <si>
    <t>C 1021,1270 les Novaines</t>
  </si>
  <si>
    <t>MARIA  PIERRE CHARLES</t>
  </si>
  <si>
    <t>693, BOULEVARD DE LA VALLEE</t>
  </si>
  <si>
    <t>MARIA FELIX (MME)</t>
  </si>
  <si>
    <t>25 CAMIN DE LA GAILLARDA</t>
  </si>
  <si>
    <t>B 328,329,349,361 Ste Thècle</t>
  </si>
  <si>
    <t>MATHELIN  CHRISTINE  Mme</t>
  </si>
  <si>
    <t>230, chemin RIBA DAU PAIOUN</t>
  </si>
  <si>
    <t>C 699,711,712, Les Près C 708 (823)  c 714 (642)  Les Prés</t>
  </si>
  <si>
    <t>MAZZOLA ANTOINE</t>
  </si>
  <si>
    <t>43 RUE BARBERIS</t>
  </si>
  <si>
    <t>C 642,740,739,741 les Près</t>
  </si>
  <si>
    <t>MAZZOUZ  Oussan</t>
  </si>
  <si>
    <t>4990  Bld  de la Vallée</t>
  </si>
  <si>
    <t>C 1066,1082 Les Novaines</t>
  </si>
  <si>
    <t>MEDIONI ANDREE, Mme</t>
  </si>
  <si>
    <t>ROUTE DES PREISSES</t>
  </si>
  <si>
    <t>C 643 les Prés</t>
  </si>
  <si>
    <t>MESSEL JEAN-PAUL</t>
  </si>
  <si>
    <t>57 RAYANNA SOUBRANA</t>
  </si>
  <si>
    <t>B 351,352;353 Ste Thècle</t>
  </si>
  <si>
    <t xml:space="preserve">  B 1046 Châteauvieux</t>
  </si>
  <si>
    <t>MIGNONE CHRISTOPHE</t>
  </si>
  <si>
    <t>25, RUE DES SOURCES</t>
  </si>
  <si>
    <t>MILITO Marie  Mme</t>
  </si>
  <si>
    <t>14 CALLADA DAU SERIN</t>
  </si>
  <si>
    <t>C 178 Le Plan Borgheas</t>
  </si>
  <si>
    <t>MILLO JOSEPHINE</t>
  </si>
  <si>
    <t>3, COURS SALEYA</t>
  </si>
  <si>
    <t>MILLO LOUISE</t>
  </si>
  <si>
    <t>731 AV.HÔTEL DE VILLE</t>
  </si>
  <si>
    <t>B 416,443,444   Ste Thècle</t>
  </si>
  <si>
    <t>MILLO PAULETTE</t>
  </si>
  <si>
    <t>Le PUITS , 740 av. de l' HÔTEL de VILLE</t>
  </si>
  <si>
    <t>B  482, 1192 Ste Thècle</t>
  </si>
  <si>
    <t>MOJITO</t>
  </si>
  <si>
    <t>4 CORNICHE DES OLIVIERS</t>
  </si>
  <si>
    <t>C 198</t>
  </si>
  <si>
    <t>MULLER FRANÇOIS  Mme</t>
  </si>
  <si>
    <t xml:space="preserve"> 570 AV. HÔTEL DE VILLE</t>
  </si>
  <si>
    <t>SAINTE THECLE</t>
  </si>
  <si>
    <t>B 344 Ste Thècle</t>
  </si>
  <si>
    <t>NASI  Franck</t>
  </si>
  <si>
    <t>44, avenue Henri MATISSE</t>
  </si>
  <si>
    <t>C 395 396  Le  Plan des pins Borghéas</t>
  </si>
  <si>
    <t>NICOLAIDIS CORINNE  Mme</t>
  </si>
  <si>
    <t>83, ROUTE DU PLAN MARLET</t>
  </si>
  <si>
    <t>BERRE LES ALPES</t>
  </si>
  <si>
    <t>NICOLO ROCCO</t>
  </si>
  <si>
    <t>83 CAMIN LOU RAMPIN</t>
  </si>
  <si>
    <t>C 189,190 Les Plans</t>
  </si>
  <si>
    <t>OCCHIALINI RENÉ</t>
  </si>
  <si>
    <t>184 les Plans</t>
  </si>
  <si>
    <t>ORAN ALAIN</t>
  </si>
  <si>
    <t>50 RUE DES SOURCES</t>
  </si>
  <si>
    <t>Ste Thècle B 421 453 454</t>
  </si>
  <si>
    <t>C 668 les Près</t>
  </si>
  <si>
    <t>PAGLIANO JEAN</t>
  </si>
  <si>
    <t>82 CAMIN LOU PRAT</t>
  </si>
  <si>
    <t>C 686,1276 Les Près</t>
  </si>
  <si>
    <t>46, RIBA DOU PAÏOUN</t>
  </si>
  <si>
    <t>C 693,694,1273,1274 Les Près</t>
  </si>
  <si>
    <t>PASQUINELLI     Erménégildo</t>
  </si>
  <si>
    <t>455 AVE DE L'HÔTEL DE VILLE</t>
  </si>
  <si>
    <t>B 339 ( 344 ) 340 ( 223 ) Ste Thècle</t>
  </si>
  <si>
    <t>PASSERON Marc</t>
  </si>
  <si>
    <t>145 Chemin de Laghet</t>
  </si>
  <si>
    <t>B 1314, (692m²) B1008 (29m²)</t>
  </si>
  <si>
    <t>PASSERON Rémy</t>
  </si>
  <si>
    <t>100 Camin lou Valadoun</t>
  </si>
  <si>
    <t>B1340 (3452m²)</t>
  </si>
  <si>
    <t>PELLEGRINO (MME) Marguerite</t>
  </si>
  <si>
    <t>252 ROUTE DE CHÂTEAUVIEUX</t>
  </si>
  <si>
    <t>B 330,348 Ste thècle</t>
  </si>
  <si>
    <t>PERSICO  JEANINE</t>
  </si>
  <si>
    <t>4, CARRIERA DOU PLANTIE</t>
  </si>
  <si>
    <t>B 735(185),741(440) Châteauvieux ,C 185 Le Plan Borghéas</t>
  </si>
  <si>
    <t>PICARD LOUIS</t>
  </si>
  <si>
    <t>2 AVENUE JEAN CHARCOT</t>
  </si>
  <si>
    <t>C 715, 739,740 Les Près B 373 Ste Thècle</t>
  </si>
  <si>
    <t>PICCINELLI JACQUES</t>
  </si>
  <si>
    <t>987 ROUTE DES PREISSES</t>
  </si>
  <si>
    <t>C 748,749 Les Près</t>
  </si>
  <si>
    <t>PIRES  Nuno Daniel</t>
  </si>
  <si>
    <t>56, avenue des arènes de Cimiez</t>
  </si>
  <si>
    <t>C 1563 (195) 1564 (200)  1571 (185) C 1559 (448) 1560 (215)</t>
  </si>
  <si>
    <t>PONTI VIAL  Renée</t>
  </si>
  <si>
    <t>145, AVENUE MARECHAL LYAUTEY</t>
  </si>
  <si>
    <t>C 754 Les Prés</t>
  </si>
  <si>
    <t>POUPARD CHRISTIAN</t>
  </si>
  <si>
    <t>5658 BD DE LA VALLÉE</t>
  </si>
  <si>
    <t>C 1618 les Novaines</t>
  </si>
  <si>
    <t>PROUST CLAUDE</t>
  </si>
  <si>
    <t>25 ROUTE DE CHÂTEAUVIEUX</t>
  </si>
  <si>
    <t xml:space="preserve">  B 737 738 745 758 Châteauvieux</t>
  </si>
  <si>
    <t>QUIRIN  Bernard</t>
  </si>
  <si>
    <t>470 BD DE LA VALLÉE</t>
  </si>
  <si>
    <t>C 199 (290),204 (1080) 200(475)Le Plan Borghéas</t>
  </si>
  <si>
    <t>RACHID HAMADI</t>
  </si>
  <si>
    <t>855 AV. HÔTEL DE VILLE</t>
  </si>
  <si>
    <t>B 440 (445) 492,493,1194Ste Thècle</t>
  </si>
  <si>
    <t>RADICI DAVID</t>
  </si>
  <si>
    <t>5544 BD DE LA VALLÉE</t>
  </si>
  <si>
    <t>C 1350 Les Novaines</t>
  </si>
  <si>
    <t>RANCUREL  Jean Marc</t>
  </si>
  <si>
    <t>226, route de Châteauvieux</t>
  </si>
  <si>
    <t>B 724,725,726,,727,728 Châteauvieux</t>
  </si>
  <si>
    <t>RAPISARDI  NICOLE  Mme</t>
  </si>
  <si>
    <t>3, Bd LECH WALESA       Résid Azur Plaisance</t>
  </si>
  <si>
    <t>B 393,414 Ste Thècle</t>
  </si>
  <si>
    <t>RAYNAL J-PIERRE</t>
  </si>
  <si>
    <t>5726 BD DE LA VALLÉE</t>
  </si>
  <si>
    <t>C 970,971,972 les Novaines</t>
  </si>
  <si>
    <t>REEB GRUBER  Thomas</t>
  </si>
  <si>
    <t>5050 Bd de la VALLEE</t>
  </si>
  <si>
    <t>C 1073 Les Novaines</t>
  </si>
  <si>
    <t>RENARD MARC</t>
  </si>
  <si>
    <t>5150 BD DE LA VALLÉE-RÉSID.LES NOVAINES</t>
  </si>
  <si>
    <t>C 1050 les Novaines</t>
  </si>
  <si>
    <t>RIOU PASCAL</t>
  </si>
  <si>
    <t>1278 BD DE LA VALLÉE</t>
  </si>
  <si>
    <t>B 383,384 Chäteauvieux</t>
  </si>
  <si>
    <t>RIVIERE NICOLAS</t>
  </si>
  <si>
    <t>5326, Bd de la Vallée       Chemin des Bouisses</t>
  </si>
  <si>
    <t>C 1005   Les Novaines</t>
  </si>
  <si>
    <t>ROBAUT   Catherine</t>
  </si>
  <si>
    <t>8 AVE DU CHÂTEAU</t>
  </si>
  <si>
    <t>B 445,446 Ste Thècle</t>
  </si>
  <si>
    <t>ROBINET LOUIS</t>
  </si>
  <si>
    <t>52 PDE A. PASSERON</t>
  </si>
  <si>
    <t>C 181 Le Plan Borghéas</t>
  </si>
  <si>
    <t>ROCCA   Michel</t>
  </si>
  <si>
    <t>RIBA DOU PAÏOUN</t>
  </si>
  <si>
    <t>C 700, C701 Les Prés</t>
  </si>
  <si>
    <t>ROCHER DE GÉRIGNÉ  OlLIVIER et MARIE ANTOINETTE</t>
  </si>
  <si>
    <t>6, escalier MALBOUSQUET</t>
  </si>
  <si>
    <t>B 782,783 Châteauvieux</t>
  </si>
  <si>
    <t>ROLLAND  Yann</t>
  </si>
  <si>
    <t>1230, BD DE LA VALLEE</t>
  </si>
  <si>
    <t>B 385  386  387  388  Châteauvieux</t>
  </si>
  <si>
    <t>ROPERT JEAN LOUIS</t>
  </si>
  <si>
    <t>236, Av  Aristide  Briand</t>
  </si>
  <si>
    <t>C 742  les Prés</t>
  </si>
  <si>
    <t>ROUSSILLE Kevin  COUTELA Laétitia</t>
  </si>
  <si>
    <t>C 1436 (355) 1437 (719) 1438 (126) 1443 (261)</t>
  </si>
  <si>
    <t>SANA  JACQUELINE  Mme</t>
  </si>
  <si>
    <t>2, AVENUE DE LA SERENA        LAS PLANAS</t>
  </si>
  <si>
    <t>B 298 302 Ste Thècle</t>
  </si>
  <si>
    <t>SARRACINO  Nicolas</t>
  </si>
  <si>
    <t>1443, Boulevard de la VALLEE</t>
  </si>
  <si>
    <t>B 776 777</t>
  </si>
  <si>
    <t>SARRACINO Françoise  Mme</t>
  </si>
  <si>
    <t>10 Rue BAVASTRO</t>
  </si>
  <si>
    <t>B 773,774 Châteauvieux</t>
  </si>
  <si>
    <t>SCHMITT Alexis &amp; LEMONTE Erika</t>
  </si>
  <si>
    <t>5028, Boulevard de la Vallée</t>
  </si>
  <si>
    <t>C 1060 Les Novaines</t>
  </si>
  <si>
    <t>SEGURA   Frédéric</t>
  </si>
  <si>
    <t>5389 BD DE LA VALLÉE</t>
  </si>
  <si>
    <t>C 989,990,991,1345,1346 Les Novaines</t>
  </si>
  <si>
    <t>SIKIC MILAN &amp; SIKIC  CHANTAL</t>
  </si>
  <si>
    <t>C 1015 - C1016 Les Novaines</t>
  </si>
  <si>
    <t>SPRUGNOLI LAURENCE</t>
  </si>
  <si>
    <t>Le Villon,  2bis RUELLE ST ROCH</t>
  </si>
  <si>
    <t>C  177 Borgheas</t>
  </si>
  <si>
    <t>SUZZONI HENRI</t>
  </si>
  <si>
    <t>1423 BD DE LA VALLÉE</t>
  </si>
  <si>
    <t>B 101 Châteauvieux</t>
  </si>
  <si>
    <t>TESSEIRE PH.-PAUL CATH.</t>
  </si>
  <si>
    <t>36, B, AV. PRIMEROSE</t>
  </si>
  <si>
    <t>B 402,403 Ste Thècle</t>
  </si>
  <si>
    <t>B 321,322  Ste Thècle</t>
  </si>
  <si>
    <t>TOLLARDO Martine Epse  ROMAN Martine</t>
  </si>
  <si>
    <t>24, rue  des sources</t>
  </si>
  <si>
    <t xml:space="preserve"> B 452 456</t>
  </si>
  <si>
    <t>TOSELLO LOUIS</t>
  </si>
  <si>
    <t>436 AVE RAIBERTI</t>
  </si>
  <si>
    <t>C 202 Les Plans</t>
  </si>
  <si>
    <t>TRÉRIEUX GHISLAINE  Mme</t>
  </si>
  <si>
    <t>50 CAMIN LOU PRAT</t>
  </si>
  <si>
    <t>C 675,676,677, 678 Les Prés</t>
  </si>
  <si>
    <t>TURC LUCIEN  Mme</t>
  </si>
  <si>
    <t>5326 BD DE LA VALLÉE</t>
  </si>
  <si>
    <t>C 997,1344 Les Novaines</t>
  </si>
  <si>
    <t>VALENZA GISÈLE  Mme</t>
  </si>
  <si>
    <t>460 BD DE LA VALLÉE</t>
  </si>
  <si>
    <t>C 207,208 Le Plan Borghéas</t>
  </si>
  <si>
    <t>VAN DER VLUGT Jean Claude</t>
  </si>
  <si>
    <t>485 Chemin de FAYENCE</t>
  </si>
  <si>
    <t>83440</t>
  </si>
  <si>
    <t>ST PAUL EN FORET</t>
  </si>
  <si>
    <t>C 1148 Les Près</t>
  </si>
  <si>
    <t>VENDETTI MARC</t>
  </si>
  <si>
    <t>B368 (788), B371 (525) Ste Thècle</t>
  </si>
  <si>
    <t>VERDINO  AUGUSTINE</t>
  </si>
  <si>
    <t>198, BD du MONT BORON  VILLA N.2</t>
  </si>
  <si>
    <t>C 1340 (337) 1339 (163)</t>
  </si>
  <si>
    <t>VICAT (SA)</t>
  </si>
  <si>
    <t>C 962,1061,1062 Les Novaines</t>
  </si>
  <si>
    <t>VIGIN  Joséphine</t>
  </si>
  <si>
    <t>8, RUE ST SEBASTIEN</t>
  </si>
  <si>
    <t>B 805 les Moulins, le Beausset</t>
  </si>
  <si>
    <t>VILACA/FERREIRA GOMEZ</t>
  </si>
  <si>
    <t>1233 B RTE DE LA VERNEA</t>
  </si>
  <si>
    <t>STE  THECLE</t>
  </si>
  <si>
    <t>B 300 301 Ste Thècle</t>
  </si>
  <si>
    <t>VOLTIER  Jean Mihel</t>
  </si>
  <si>
    <t>5726, BD DE LA VALLEE</t>
  </si>
  <si>
    <t>C 967 les Novaines</t>
  </si>
  <si>
    <t>AS IMMO Sci</t>
  </si>
  <si>
    <t>2 Rue Guiglionda de Sainte Agathe</t>
  </si>
  <si>
    <t xml:space="preserve"> BRUCIAMACCHIE</t>
  </si>
  <si>
    <t>16 Route des Novaines</t>
  </si>
  <si>
    <t xml:space="preserve"> D'INCA  René</t>
  </si>
  <si>
    <t>17 Rue Acchiardi de St Léger</t>
  </si>
  <si>
    <t>C 1064</t>
  </si>
  <si>
    <t xml:space="preserve"> GASTALDI  Sabée</t>
  </si>
  <si>
    <t>37 Bd Jean BEHRA</t>
  </si>
  <si>
    <t xml:space="preserve"> MAMONE </t>
  </si>
  <si>
    <t>27 Chemin du Square</t>
  </si>
  <si>
    <t xml:space="preserve"> PICART  Yves</t>
  </si>
  <si>
    <t>Chemin de Laghet</t>
  </si>
  <si>
    <t xml:space="preserve"> SPIES  Jean Pierre</t>
  </si>
  <si>
    <t>592 AV. de Hôtel de Ville</t>
  </si>
  <si>
    <t>L' AIGLON</t>
  </si>
  <si>
    <t>NICE NORD</t>
  </si>
  <si>
    <t>SIGNATURE</t>
  </si>
  <si>
    <t>A 806,Castagnier, A 231,274 Les Bouisses, A ,292, 293  Le Merlo,                         B 452.275.327,399,424,447,448,449,450,299 Ste Thècle,C 720,803,804,807,808,193,194 le Plan- C 680,681,690,704,721,722 les Près 1768 &amp;1524</t>
  </si>
  <si>
    <t>LARBURU Christian</t>
  </si>
  <si>
    <t>B 391 394 397 398 406 409 (1015) 410 412  425 (1086)  (428)  423 (690) 408 (253) Ste Thécle  489 &amp;488 (210)</t>
  </si>
  <si>
    <t>741 Rue Antoine PEGLION</t>
  </si>
  <si>
    <t>ROQUEBRUNE  CAP  MARTIN</t>
  </si>
  <si>
    <t>C 390 (730),  391 (263)  C393 (153 ) Le Plan ( Borghéas)</t>
  </si>
  <si>
    <t>919 Route de Preisses</t>
  </si>
  <si>
    <t>255 Ave Hôtel de Ville</t>
  </si>
  <si>
    <t>B 784  785</t>
  </si>
  <si>
    <t>RUSSO  Joseph</t>
  </si>
  <si>
    <t>29 Av du PETIT FABRON</t>
  </si>
  <si>
    <t>B 307 St Thecle (329)</t>
  </si>
  <si>
    <t>Cot Arrondie</t>
  </si>
  <si>
    <t>5266 Bld  de la Vallée</t>
  </si>
  <si>
    <t>4 Rue Aristide BERGES</t>
  </si>
  <si>
    <t>38080</t>
  </si>
  <si>
    <t>L'ISLE  D'ABEAU</t>
  </si>
  <si>
    <t>PUISANTS</t>
  </si>
  <si>
    <t>TOUBOLETS  Savenkova</t>
  </si>
  <si>
    <t>BOSSIS   Georges</t>
  </si>
  <si>
    <t>11 Ave Vadiletta</t>
  </si>
  <si>
    <t>5726 Bd de la Vallée</t>
  </si>
  <si>
    <t>FULCONIS-SCHEIJBAL</t>
  </si>
  <si>
    <t>27 Rue  ARSON</t>
  </si>
  <si>
    <t>C 1441 Les Novaines</t>
  </si>
  <si>
    <t>Mise à Jour</t>
  </si>
  <si>
    <t>89 Vieux Chemin de Laghet</t>
  </si>
  <si>
    <t>annee</t>
  </si>
  <si>
    <t>Réf</t>
  </si>
  <si>
    <t>5011 Bld de la Valée</t>
  </si>
  <si>
    <t>Tarif</t>
  </si>
  <si>
    <t>BAREME de reference 2024</t>
  </si>
  <si>
    <t>Surface ref</t>
  </si>
  <si>
    <t>TARIFS DE BASE</t>
  </si>
  <si>
    <t>Base m²</t>
  </si>
  <si>
    <t>Plafond m²</t>
  </si>
  <si>
    <t>Tarifs 2022</t>
  </si>
  <si>
    <t xml:space="preserve">Taxes P/année  </t>
  </si>
  <si>
    <t xml:space="preserve">JAUGEY  Daniel </t>
  </si>
  <si>
    <t>153 Bd du Mont Boron             MONT BORON PALACE</t>
  </si>
  <si>
    <t>C 389 (575m²) Plan des Pins Borghéas, B 759(1548),760(413) Châteauvieux</t>
  </si>
  <si>
    <t xml:space="preserve">C 717 (170)  718 (162)  Les Prés             </t>
  </si>
  <si>
    <t>BELLARDI Mme Raymonde</t>
  </si>
  <si>
    <t xml:space="preserve">BERINGHIER LOUIS </t>
  </si>
  <si>
    <t>B 729,730,731,734,743 Châteauvieux</t>
  </si>
  <si>
    <t xml:space="preserve">270 Route de Turin   Porte de France  A                       </t>
  </si>
  <si>
    <t>CONTE Mme</t>
  </si>
  <si>
    <t>C1441 les Novaines</t>
  </si>
  <si>
    <t xml:space="preserve"> B212,216,1042,1043, 1044,1045 Les Moulins</t>
  </si>
  <si>
    <t>C1006,1008,1024,1343  Les Novaines</t>
  </si>
  <si>
    <t>GIROUX Benjamin RIERA Sthephanie</t>
  </si>
  <si>
    <t>C1741 Les Pres          (ex c700 c701)</t>
  </si>
  <si>
    <t>B1182,264,265,1184,  277,278, 279(280), 280(782)281,282,285 Ste Thècle</t>
  </si>
  <si>
    <t>LABORDE Cedric</t>
  </si>
  <si>
    <t>48 Chemin La Gaillarda</t>
  </si>
  <si>
    <t>B 413 St Thecle</t>
  </si>
  <si>
    <t>C 1539,1540,1541,1542, Le Plan Borghèas, B 755,756,757, Châteauvieux</t>
  </si>
  <si>
    <t xml:space="preserve">C 169,170,171 Le Plan (ex C 1565, 1566, 1568,  1569 ) </t>
  </si>
  <si>
    <t>B 480,483,484,485,486, 487,Ste Thècle</t>
  </si>
  <si>
    <t xml:space="preserve">B 431,432, 439 440 Ste Thècle  </t>
  </si>
  <si>
    <t>B 318 (188m²) B307 (329m²)  Ste Thècle</t>
  </si>
  <si>
    <t>ORZELLI Charles</t>
  </si>
  <si>
    <t>Chemin des Pres</t>
  </si>
  <si>
    <t>Les Prés</t>
  </si>
  <si>
    <t>C688 Les Prés</t>
  </si>
  <si>
    <t>voir</t>
  </si>
  <si>
    <t>VILLE</t>
  </si>
  <si>
    <t>1 Bd du Docteur  ROUX</t>
  </si>
  <si>
    <r>
      <t xml:space="preserve">Ave Denis  Delahaye </t>
    </r>
    <r>
      <rPr>
        <sz val="8"/>
        <color indexed="8"/>
        <rFont val="Arial"/>
        <family val="2"/>
      </rPr>
      <t xml:space="preserve"> LES CHENES VERTS</t>
    </r>
    <r>
      <rPr>
        <sz val="10"/>
        <color indexed="8"/>
        <rFont val="Arial"/>
        <family val="2"/>
      </rPr>
      <t xml:space="preserve">  bloc B</t>
    </r>
  </si>
  <si>
    <t>ALAGIA  Antonia</t>
  </si>
  <si>
    <t>DESCHAMPS  Etienne</t>
  </si>
  <si>
    <t>23 Bd FRANCK  PILATTE 2 Parc Vigier</t>
  </si>
  <si>
    <t>FONTE  PHILIPPON</t>
  </si>
  <si>
    <t>OLIVA Jessica  Mme</t>
  </si>
  <si>
    <t>MEUNIER MARIE</t>
  </si>
  <si>
    <t>96 Bld General de Gaulle  Entrée  B</t>
  </si>
  <si>
    <t>FEUILLE DE PRESENCE   ASSEMLEE GENERALE  STATUTAIRE     PEILLON  LE  11 AVRIL  2025   18h  Salle Conseil Municipal</t>
  </si>
  <si>
    <t>Mise à Jour   28/03/25</t>
  </si>
  <si>
    <t>COLOMBINI / RUSSO</t>
  </si>
  <si>
    <t>245 Corniche de Magnan</t>
  </si>
  <si>
    <t>Civil</t>
  </si>
  <si>
    <t>M.</t>
  </si>
  <si>
    <t>Mme</t>
  </si>
  <si>
    <t>BELLARDI  Raymonde</t>
  </si>
  <si>
    <t xml:space="preserve">CHARLY   SELEM  </t>
  </si>
  <si>
    <t>M. Mme</t>
  </si>
  <si>
    <t>CALLEGARI   Jocelyne</t>
  </si>
  <si>
    <t xml:space="preserve"> Mme</t>
  </si>
  <si>
    <t>CONTE</t>
  </si>
  <si>
    <t>COSI   Françoise</t>
  </si>
  <si>
    <t xml:space="preserve">DAMIANO MARGUERITE  </t>
  </si>
  <si>
    <t xml:space="preserve">VALENZA GISÈLE  </t>
  </si>
  <si>
    <t xml:space="preserve">TURC LUCIEN </t>
  </si>
  <si>
    <t xml:space="preserve">TRÉRIEUX GHISLAINE  </t>
  </si>
  <si>
    <t xml:space="preserve">TOLLARDO Martine  ROMAN </t>
  </si>
  <si>
    <t xml:space="preserve">SARRACINO Françoise </t>
  </si>
  <si>
    <t xml:space="preserve">RAPISARDI  NICOLE  </t>
  </si>
  <si>
    <t>PELLEGRINO Marguerite</t>
  </si>
  <si>
    <t xml:space="preserve">OLIVA Jessica  </t>
  </si>
  <si>
    <t xml:space="preserve">NICOLAIDIS CORINNE </t>
  </si>
  <si>
    <t xml:space="preserve">MILITO Marie </t>
  </si>
  <si>
    <t xml:space="preserve">MEDIONI ANDREE, </t>
  </si>
  <si>
    <t xml:space="preserve">MATHELIN  CHRISTINE  </t>
  </si>
  <si>
    <t>MARIA FELIX</t>
  </si>
  <si>
    <t>LIGUORIFlorence</t>
  </si>
  <si>
    <t xml:space="preserve">GIACALONE HELENE </t>
  </si>
  <si>
    <t xml:space="preserve">FOLINO ROSINA </t>
  </si>
  <si>
    <t xml:space="preserve">DELEUSE FELICITE </t>
  </si>
  <si>
    <t xml:space="preserve">COUSTAURY Marine </t>
  </si>
  <si>
    <t>GORDA  Jean-Marie &amp; RISSO Yvette</t>
  </si>
  <si>
    <t>M.Mme</t>
  </si>
  <si>
    <t xml:space="preserve">SANA  JACQUELINE  </t>
  </si>
  <si>
    <t>Mme.</t>
  </si>
  <si>
    <t>C 1422,C1533,C1534 Le Plan Borghéas</t>
  </si>
  <si>
    <t>MONTANT TOTAL DES COTISATION DUES  ASA Paillon 2025</t>
  </si>
  <si>
    <t xml:space="preserve">MULLER FRANÇOISE </t>
  </si>
  <si>
    <t>AGOPIAN / PREYVAL</t>
  </si>
  <si>
    <t>88 Bd Pape Jean XXIII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</si>
</sst>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#,##0.00\ &quot;€&quot;;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#,##0.00\ &quot;€&quot;"/>
    <numFmt numFmtId="166" formatCode="_-* #,##0.00\ [$€-40C]_-;\-* #,##0.00\ [$€-40C]_-;_-* &quot;-&quot;??\ [$€-40C]_-;_-@_-"/>
    <numFmt numFmtId="167" formatCode="#,##0.00_ ;\-#,##0.00\ "/>
  </numFmts>
  <fonts count="12" x14ac:knownFonts="1">
    <font>
      <sz val="10"/>
      <color indexed="8"/>
      <name val="Arial"/>
    </font>
    <font>
      <sz val="8"/>
      <color indexed="8"/>
      <name val="Arial"/>
      <family val="2"/>
    </font>
    <font>
      <sz val="12"/>
      <color indexed="8"/>
      <name val="Arial"/>
      <family val="2"/>
    </font>
    <font>
      <sz val="14"/>
      <color indexed="8"/>
      <name val="Arial"/>
      <family val="2"/>
    </font>
    <font>
      <sz val="16"/>
      <color indexed="8"/>
      <name val="Arial"/>
      <family val="2"/>
    </font>
    <font>
      <sz val="2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rgb="FF0000FF"/>
      <name val="Arial"/>
      <family val="2"/>
    </font>
    <font>
      <sz val="22"/>
      <color indexed="8"/>
      <name val="Arial"/>
      <family val="2"/>
    </font>
    <font>
      <b/>
      <sz val="14"/>
      <color rgb="FFFF000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93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0" xfId="0" applyFont="1"/>
    <xf numFmtId="0" fontId="0" fillId="4" borderId="0" xfId="0" applyFill="1" applyAlignment="1">
      <alignment horizontal="centerContinuous" vertical="center"/>
    </xf>
    <xf numFmtId="0" fontId="0" fillId="4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7" fillId="0" borderId="1" xfId="0" applyFont="1" applyBorder="1" applyAlignment="1">
      <alignment horizontal="center" vertical="center"/>
    </xf>
    <xf numFmtId="166" fontId="0" fillId="0" borderId="0" xfId="0" applyNumberForma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49" fontId="6" fillId="0" borderId="1" xfId="0" applyNumberFormat="1" applyFont="1" applyBorder="1" applyAlignment="1">
      <alignment horizontal="center" vertical="center" wrapText="1"/>
    </xf>
    <xf numFmtId="165" fontId="6" fillId="0" borderId="1" xfId="1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vertical="center"/>
    </xf>
    <xf numFmtId="165" fontId="6" fillId="2" borderId="1" xfId="1" applyNumberFormat="1" applyFont="1" applyFill="1" applyBorder="1" applyAlignment="1">
      <alignment vertical="center"/>
    </xf>
    <xf numFmtId="7" fontId="6" fillId="0" borderId="10" xfId="0" applyNumberFormat="1" applyFont="1" applyBorder="1" applyAlignment="1">
      <alignment vertical="center"/>
    </xf>
    <xf numFmtId="166" fontId="6" fillId="3" borderId="4" xfId="0" applyNumberFormat="1" applyFont="1" applyFill="1" applyBorder="1" applyAlignment="1">
      <alignment vertical="center"/>
    </xf>
    <xf numFmtId="7" fontId="6" fillId="0" borderId="11" xfId="0" applyNumberFormat="1" applyFont="1" applyBorder="1" applyAlignment="1">
      <alignment vertical="center"/>
    </xf>
    <xf numFmtId="0" fontId="6" fillId="0" borderId="4" xfId="0" applyFont="1" applyBorder="1" applyAlignment="1">
      <alignment vertical="center"/>
    </xf>
    <xf numFmtId="7" fontId="6" fillId="0" borderId="4" xfId="0" applyNumberFormat="1" applyFont="1" applyBorder="1" applyAlignment="1">
      <alignment vertical="center"/>
    </xf>
    <xf numFmtId="7" fontId="6" fillId="0" borderId="12" xfId="0" applyNumberFormat="1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0" fillId="0" borderId="1" xfId="0" applyBorder="1"/>
    <xf numFmtId="0" fontId="9" fillId="5" borderId="1" xfId="0" applyFont="1" applyFill="1" applyBorder="1" applyAlignment="1">
      <alignment horizontal="center" vertical="center" wrapText="1"/>
    </xf>
    <xf numFmtId="49" fontId="9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/>
    </xf>
    <xf numFmtId="9" fontId="0" fillId="0" borderId="0" xfId="0" applyNumberFormat="1"/>
    <xf numFmtId="14" fontId="8" fillId="0" borderId="1" xfId="0" applyNumberFormat="1" applyFont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6" fillId="0" borderId="1" xfId="1" applyNumberFormat="1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/>
    <xf numFmtId="0" fontId="2" fillId="0" borderId="1" xfId="0" applyFont="1" applyBorder="1" applyAlignment="1">
      <alignment wrapText="1"/>
    </xf>
    <xf numFmtId="7" fontId="2" fillId="0" borderId="1" xfId="0" applyNumberFormat="1" applyFont="1" applyBorder="1" applyAlignment="1">
      <alignment horizontal="center" vertical="center" wrapText="1"/>
    </xf>
    <xf numFmtId="7" fontId="6" fillId="0" borderId="1" xfId="0" applyNumberFormat="1" applyFont="1" applyBorder="1" applyAlignment="1">
      <alignment vertical="center"/>
    </xf>
    <xf numFmtId="7" fontId="2" fillId="0" borderId="1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7" fontId="6" fillId="2" borderId="4" xfId="0" applyNumberFormat="1" applyFont="1" applyFill="1" applyBorder="1" applyAlignment="1">
      <alignment vertical="center"/>
    </xf>
    <xf numFmtId="1" fontId="6" fillId="0" borderId="1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wrapText="1"/>
    </xf>
    <xf numFmtId="49" fontId="6" fillId="2" borderId="2" xfId="0" applyNumberFormat="1" applyFont="1" applyFill="1" applyBorder="1" applyAlignment="1">
      <alignment horizontal="center" vertical="center"/>
    </xf>
    <xf numFmtId="7" fontId="6" fillId="0" borderId="13" xfId="0" applyNumberFormat="1" applyFont="1" applyBorder="1" applyAlignment="1">
      <alignment vertical="center"/>
    </xf>
    <xf numFmtId="165" fontId="6" fillId="2" borderId="4" xfId="1" applyNumberFormat="1" applyFont="1" applyFill="1" applyBorder="1" applyAlignment="1">
      <alignment vertical="center"/>
    </xf>
    <xf numFmtId="7" fontId="10" fillId="3" borderId="1" xfId="2" applyNumberFormat="1" applyFont="1" applyFill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167" fontId="7" fillId="0" borderId="1" xfId="0" applyNumberFormat="1" applyFont="1" applyBorder="1" applyAlignment="1">
      <alignment vertical="center"/>
    </xf>
    <xf numFmtId="167" fontId="7" fillId="0" borderId="1" xfId="0" applyNumberFormat="1" applyFont="1" applyBorder="1" applyAlignment="1">
      <alignment horizontal="center" vertical="center"/>
    </xf>
    <xf numFmtId="44" fontId="8" fillId="0" borderId="1" xfId="2" applyNumberFormat="1" applyFont="1" applyBorder="1" applyAlignment="1">
      <alignment vertical="center"/>
    </xf>
    <xf numFmtId="44" fontId="8" fillId="2" borderId="1" xfId="2" applyNumberFormat="1" applyFont="1" applyFill="1" applyBorder="1" applyAlignment="1">
      <alignment vertical="center"/>
    </xf>
    <xf numFmtId="44" fontId="8" fillId="0" borderId="1" xfId="2" applyNumberFormat="1" applyFont="1" applyFill="1" applyBorder="1" applyAlignment="1">
      <alignment vertical="center"/>
    </xf>
    <xf numFmtId="165" fontId="8" fillId="0" borderId="1" xfId="2" applyNumberFormat="1" applyFont="1" applyBorder="1" applyAlignment="1">
      <alignment vertical="center"/>
    </xf>
    <xf numFmtId="0" fontId="11" fillId="2" borderId="1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0" fillId="0" borderId="0" xfId="0" applyAlignment="1">
      <alignment horizontal="center"/>
    </xf>
  </cellXfs>
  <cellStyles count="3">
    <cellStyle name="Milliers" xfId="2" builtinId="3"/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</xdr:colOff>
      <xdr:row>197</xdr:row>
      <xdr:rowOff>381000</xdr:rowOff>
    </xdr:from>
    <xdr:to>
      <xdr:col>14</xdr:col>
      <xdr:colOff>15240</xdr:colOff>
      <xdr:row>203</xdr:row>
      <xdr:rowOff>114300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20319E2F-9F64-019D-69EA-85D2EF702986}"/>
            </a:ext>
          </a:extLst>
        </xdr:cNvPr>
        <xdr:cNvCxnSpPr/>
      </xdr:nvCxnSpPr>
      <xdr:spPr>
        <a:xfrm flipV="1">
          <a:off x="198120" y="64396620"/>
          <a:ext cx="11696700" cy="122682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</xdr:colOff>
      <xdr:row>199</xdr:row>
      <xdr:rowOff>30480</xdr:rowOff>
    </xdr:from>
    <xdr:to>
      <xdr:col>13</xdr:col>
      <xdr:colOff>15240</xdr:colOff>
      <xdr:row>204</xdr:row>
      <xdr:rowOff>175260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C9FC7780-0344-D1AD-318E-787106E9F92D}"/>
            </a:ext>
          </a:extLst>
        </xdr:cNvPr>
        <xdr:cNvCxnSpPr/>
      </xdr:nvCxnSpPr>
      <xdr:spPr>
        <a:xfrm>
          <a:off x="160020" y="64632840"/>
          <a:ext cx="10919460" cy="124206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V205"/>
  <sheetViews>
    <sheetView tabSelected="1" defaultGridColor="0" colorId="8" zoomScale="99" zoomScaleNormal="99" zoomScaleSheetLayoutView="19" workbookViewId="0">
      <pane ySplit="864" topLeftCell="A81" activePane="bottomLeft"/>
      <selection activeCell="C1" sqref="C1"/>
      <selection pane="bottomLeft" activeCell="O89" sqref="O89"/>
    </sheetView>
  </sheetViews>
  <sheetFormatPr baseColWidth="10" defaultColWidth="12.44140625" defaultRowHeight="30" customHeight="1" x14ac:dyDescent="0.25"/>
  <cols>
    <col min="1" max="1" width="2.21875" style="1" customWidth="1"/>
    <col min="2" max="2" width="8.77734375" style="1" customWidth="1"/>
    <col min="3" max="3" width="23.21875" style="62" customWidth="1"/>
    <col min="4" max="4" width="7" style="57" customWidth="1"/>
    <col min="5" max="5" width="7.5546875" style="57" customWidth="1"/>
    <col min="6" max="6" width="27.33203125" style="63" customWidth="1"/>
    <col min="7" max="7" width="16.21875" style="56" customWidth="1"/>
    <col min="8" max="8" width="9.44140625" style="64" customWidth="1"/>
    <col min="9" max="9" width="16.21875" style="57" customWidth="1"/>
    <col min="10" max="10" width="20.109375" style="65" customWidth="1"/>
    <col min="11" max="11" width="7" style="1" customWidth="1"/>
    <col min="12" max="12" width="16" style="68" customWidth="1"/>
    <col min="13" max="13" width="10.109375" style="1" customWidth="1"/>
    <col min="14" max="14" width="11.88671875" style="1" customWidth="1"/>
    <col min="15" max="15" width="13.88671875" style="60" customWidth="1"/>
    <col min="16" max="255" width="11.5546875" style="1" customWidth="1"/>
    <col min="256" max="256" width="12.44140625" style="1" bestFit="1"/>
    <col min="257" max="16384" width="12.44140625" style="1"/>
  </cols>
  <sheetData>
    <row r="1" spans="2:256" s="57" customFormat="1" ht="30" customHeight="1" x14ac:dyDescent="0.25">
      <c r="B1" s="57" t="s">
        <v>694</v>
      </c>
      <c r="C1" s="56" t="s">
        <v>0</v>
      </c>
      <c r="D1" s="56" t="s">
        <v>642</v>
      </c>
      <c r="E1" s="57" t="s">
        <v>641</v>
      </c>
      <c r="F1" s="56" t="s">
        <v>1</v>
      </c>
      <c r="G1" s="56" t="s">
        <v>2</v>
      </c>
      <c r="H1" s="58" t="s">
        <v>3</v>
      </c>
      <c r="I1" s="57" t="s">
        <v>4</v>
      </c>
      <c r="J1" s="56" t="s">
        <v>5</v>
      </c>
      <c r="K1" s="57" t="s">
        <v>6</v>
      </c>
      <c r="L1" s="66" t="s">
        <v>651</v>
      </c>
      <c r="M1" s="59">
        <v>0.4</v>
      </c>
      <c r="N1" s="56" t="s">
        <v>626</v>
      </c>
      <c r="O1" s="60" t="s">
        <v>639</v>
      </c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</row>
    <row r="2" spans="2:256" ht="31.2" x14ac:dyDescent="0.35">
      <c r="B2" s="57" t="s">
        <v>695</v>
      </c>
      <c r="C2" s="22" t="s">
        <v>7</v>
      </c>
      <c r="D2" s="73">
        <v>1</v>
      </c>
      <c r="E2" s="23">
        <v>2025</v>
      </c>
      <c r="F2" s="24" t="s">
        <v>643</v>
      </c>
      <c r="G2" s="23"/>
      <c r="H2" s="33" t="s">
        <v>9</v>
      </c>
      <c r="I2" s="23" t="s">
        <v>10</v>
      </c>
      <c r="J2" s="23" t="s">
        <v>11</v>
      </c>
      <c r="K2" s="21">
        <v>465</v>
      </c>
      <c r="L2" s="83">
        <f>VLOOKUP(K2,'Tarifs 40%'!$B$4:$C$20,2,TRUE)</f>
        <v>23.5</v>
      </c>
      <c r="M2" s="45">
        <f t="shared" ref="M2:M33" si="0">L2*40/100</f>
        <v>9.4</v>
      </c>
      <c r="N2" s="36">
        <v>9.4499999999999993</v>
      </c>
      <c r="O2" s="53"/>
      <c r="P2" s="15"/>
      <c r="Q2" s="15"/>
      <c r="R2" s="15"/>
      <c r="S2" s="15"/>
      <c r="T2" s="15"/>
      <c r="U2" s="15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V2" s="2" t="s">
        <v>8</v>
      </c>
    </row>
    <row r="3" spans="2:256" ht="26.4" x14ac:dyDescent="0.35">
      <c r="B3" s="57" t="s">
        <v>696</v>
      </c>
      <c r="C3" s="22" t="s">
        <v>683</v>
      </c>
      <c r="D3" s="73">
        <v>2</v>
      </c>
      <c r="E3" s="23">
        <v>2025</v>
      </c>
      <c r="F3" s="24" t="s">
        <v>12</v>
      </c>
      <c r="G3" s="23" t="s">
        <v>13</v>
      </c>
      <c r="H3" s="33" t="s">
        <v>14</v>
      </c>
      <c r="I3" s="23" t="s">
        <v>15</v>
      </c>
      <c r="J3" s="23" t="s">
        <v>16</v>
      </c>
      <c r="K3" s="21">
        <v>700</v>
      </c>
      <c r="L3" s="83">
        <f>VLOOKUP(K3,'Tarifs 40%'!$B$4:$C$20,2,TRUE)</f>
        <v>33.299999999999997</v>
      </c>
      <c r="M3" s="45">
        <f t="shared" si="0"/>
        <v>13.32</v>
      </c>
      <c r="N3" s="36">
        <v>13.35</v>
      </c>
      <c r="O3" s="53"/>
      <c r="P3" s="15"/>
      <c r="Q3" s="15"/>
      <c r="R3" s="15"/>
      <c r="S3" s="15"/>
      <c r="T3" s="15"/>
      <c r="U3" s="15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</row>
    <row r="4" spans="2:256" ht="20.399999999999999" x14ac:dyDescent="0.35">
      <c r="B4" s="57" t="s">
        <v>695</v>
      </c>
      <c r="C4" s="22" t="s">
        <v>17</v>
      </c>
      <c r="D4" s="73">
        <v>3</v>
      </c>
      <c r="E4" s="23">
        <v>2025</v>
      </c>
      <c r="F4" s="24" t="s">
        <v>640</v>
      </c>
      <c r="G4" s="23"/>
      <c r="H4" s="33" t="s">
        <v>189</v>
      </c>
      <c r="I4" s="23" t="s">
        <v>380</v>
      </c>
      <c r="J4" s="23" t="s">
        <v>18</v>
      </c>
      <c r="K4" s="21">
        <v>750</v>
      </c>
      <c r="L4" s="83">
        <f>VLOOKUP(K4,'Tarifs 40%'!$B$4:$C$20,2,TRUE)</f>
        <v>33.299999999999997</v>
      </c>
      <c r="M4" s="45">
        <f t="shared" si="0"/>
        <v>13.32</v>
      </c>
      <c r="N4" s="36">
        <v>13.35</v>
      </c>
      <c r="O4" s="53">
        <v>45402</v>
      </c>
      <c r="P4" s="15"/>
      <c r="Q4" s="15"/>
      <c r="R4" s="15"/>
      <c r="S4" s="15"/>
      <c r="T4" s="15"/>
      <c r="U4" s="15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</row>
    <row r="5" spans="2:256" ht="26.4" x14ac:dyDescent="0.25">
      <c r="B5" s="57" t="s">
        <v>695</v>
      </c>
      <c r="C5" s="22" t="s">
        <v>19</v>
      </c>
      <c r="D5" s="73">
        <v>4</v>
      </c>
      <c r="E5" s="23">
        <v>2025</v>
      </c>
      <c r="F5" s="24" t="s">
        <v>20</v>
      </c>
      <c r="G5" s="23" t="s">
        <v>21</v>
      </c>
      <c r="H5" s="33" t="s">
        <v>9</v>
      </c>
      <c r="I5" s="23" t="s">
        <v>10</v>
      </c>
      <c r="J5" s="23" t="s">
        <v>22</v>
      </c>
      <c r="K5" s="21">
        <v>585</v>
      </c>
      <c r="L5" s="83">
        <f>VLOOKUP(K5,'Tarifs 40%'!$B$4:$C$20,2,TRUE)</f>
        <v>33.299999999999997</v>
      </c>
      <c r="M5" s="45">
        <f t="shared" si="0"/>
        <v>13.32</v>
      </c>
      <c r="N5" s="36">
        <v>13.35</v>
      </c>
      <c r="O5" s="53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</row>
    <row r="6" spans="2:256" ht="15" x14ac:dyDescent="0.25">
      <c r="B6" s="71" t="s">
        <v>695</v>
      </c>
      <c r="C6" s="25" t="s">
        <v>23</v>
      </c>
      <c r="D6" s="73">
        <v>5</v>
      </c>
      <c r="E6" s="27">
        <v>2025</v>
      </c>
      <c r="F6" s="26" t="s">
        <v>24</v>
      </c>
      <c r="G6" s="27" t="s">
        <v>21</v>
      </c>
      <c r="H6" s="38" t="s">
        <v>9</v>
      </c>
      <c r="I6" s="27" t="s">
        <v>10</v>
      </c>
      <c r="J6" s="27" t="s">
        <v>25</v>
      </c>
      <c r="K6" s="28">
        <v>473</v>
      </c>
      <c r="L6" s="84">
        <f>VLOOKUP(K6,'Tarifs 40%'!$B$4:$C$20,2,TRUE)</f>
        <v>23.5</v>
      </c>
      <c r="M6" s="72">
        <f t="shared" si="0"/>
        <v>9.4</v>
      </c>
      <c r="N6" s="40">
        <v>9.4499999999999993</v>
      </c>
      <c r="O6" s="54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</row>
    <row r="7" spans="2:256" ht="26.4" x14ac:dyDescent="0.25">
      <c r="B7" s="57"/>
      <c r="C7" s="22" t="s">
        <v>596</v>
      </c>
      <c r="D7" s="73">
        <v>6</v>
      </c>
      <c r="E7" s="23">
        <v>2025</v>
      </c>
      <c r="F7" s="24" t="s">
        <v>597</v>
      </c>
      <c r="G7" s="23"/>
      <c r="H7" s="33" t="s">
        <v>28</v>
      </c>
      <c r="I7" s="23" t="s">
        <v>15</v>
      </c>
      <c r="J7" s="23" t="s">
        <v>558</v>
      </c>
      <c r="K7" s="21">
        <v>1099</v>
      </c>
      <c r="L7" s="83">
        <f>VLOOKUP(K7,'Tarifs 40%'!$B$4:$C$20,2,TRUE)</f>
        <v>48</v>
      </c>
      <c r="M7" s="45">
        <f t="shared" si="0"/>
        <v>19.2</v>
      </c>
      <c r="N7" s="36">
        <v>19.45</v>
      </c>
      <c r="O7" s="53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</row>
    <row r="8" spans="2:256" ht="15" x14ac:dyDescent="0.25">
      <c r="B8" s="57" t="s">
        <v>695</v>
      </c>
      <c r="C8" s="22" t="s">
        <v>26</v>
      </c>
      <c r="D8" s="73">
        <v>7</v>
      </c>
      <c r="E8" s="23">
        <v>2025</v>
      </c>
      <c r="F8" s="24" t="s">
        <v>27</v>
      </c>
      <c r="G8" s="23"/>
      <c r="H8" s="33" t="s">
        <v>28</v>
      </c>
      <c r="I8" s="23" t="s">
        <v>15</v>
      </c>
      <c r="J8" s="23" t="s">
        <v>29</v>
      </c>
      <c r="K8" s="21">
        <v>911</v>
      </c>
      <c r="L8" s="83">
        <f>VLOOKUP(K8,'Tarifs 40%'!$B$4:$C$20,2,TRUE)</f>
        <v>39.5</v>
      </c>
      <c r="M8" s="45">
        <f t="shared" si="0"/>
        <v>15.8</v>
      </c>
      <c r="N8" s="36">
        <v>15.85</v>
      </c>
      <c r="O8" s="53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</row>
    <row r="9" spans="2:256" ht="15" x14ac:dyDescent="0.25">
      <c r="B9" s="57" t="s">
        <v>695</v>
      </c>
      <c r="C9" s="22" t="s">
        <v>30</v>
      </c>
      <c r="D9" s="73">
        <v>8</v>
      </c>
      <c r="E9" s="23">
        <v>2025</v>
      </c>
      <c r="F9" s="24" t="s">
        <v>620</v>
      </c>
      <c r="G9" s="23" t="s">
        <v>31</v>
      </c>
      <c r="H9" s="33" t="s">
        <v>9</v>
      </c>
      <c r="I9" s="23" t="s">
        <v>10</v>
      </c>
      <c r="J9" s="23" t="s">
        <v>33</v>
      </c>
      <c r="K9" s="21">
        <v>435</v>
      </c>
      <c r="L9" s="83">
        <f>VLOOKUP(K9,'Tarifs 40%'!$B$4:$C$20,2,TRUE)</f>
        <v>23.5</v>
      </c>
      <c r="M9" s="45">
        <f t="shared" si="0"/>
        <v>9.4</v>
      </c>
      <c r="N9" s="36">
        <v>9.4499999999999993</v>
      </c>
      <c r="O9" s="53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</row>
    <row r="10" spans="2:256" ht="15" x14ac:dyDescent="0.25">
      <c r="B10" s="57" t="s">
        <v>695</v>
      </c>
      <c r="C10" s="22" t="s">
        <v>34</v>
      </c>
      <c r="D10" s="73">
        <v>9</v>
      </c>
      <c r="E10" s="23">
        <v>2025</v>
      </c>
      <c r="F10" s="24" t="s">
        <v>35</v>
      </c>
      <c r="G10" s="23" t="s">
        <v>31</v>
      </c>
      <c r="H10" s="33" t="s">
        <v>9</v>
      </c>
      <c r="I10" s="23" t="s">
        <v>10</v>
      </c>
      <c r="J10" s="23" t="s">
        <v>36</v>
      </c>
      <c r="K10" s="21">
        <v>636</v>
      </c>
      <c r="L10" s="83">
        <f>VLOOKUP(K10,'Tarifs 40%'!$B$4:$C$20,2,TRUE)</f>
        <v>33.299999999999997</v>
      </c>
      <c r="M10" s="45">
        <f t="shared" si="0"/>
        <v>13.32</v>
      </c>
      <c r="N10" s="36">
        <v>13.35</v>
      </c>
      <c r="O10" s="53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</row>
    <row r="11" spans="2:256" ht="26.4" x14ac:dyDescent="0.25">
      <c r="B11" s="57" t="s">
        <v>695</v>
      </c>
      <c r="C11" s="22" t="s">
        <v>37</v>
      </c>
      <c r="D11" s="73">
        <v>10</v>
      </c>
      <c r="E11" s="23">
        <v>2025</v>
      </c>
      <c r="F11" s="24" t="s">
        <v>38</v>
      </c>
      <c r="G11" s="23" t="s">
        <v>13</v>
      </c>
      <c r="H11" s="33" t="s">
        <v>9</v>
      </c>
      <c r="I11" s="23" t="s">
        <v>10</v>
      </c>
      <c r="J11" s="23" t="s">
        <v>39</v>
      </c>
      <c r="K11" s="21">
        <v>250</v>
      </c>
      <c r="L11" s="83">
        <f>VLOOKUP(K11,'Tarifs 40%'!$B$4:$C$20,2,TRUE)</f>
        <v>13.6</v>
      </c>
      <c r="M11" s="45">
        <f t="shared" si="0"/>
        <v>5.44</v>
      </c>
      <c r="N11" s="36">
        <v>5.45</v>
      </c>
      <c r="O11" s="53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</row>
    <row r="12" spans="2:256" ht="26.4" x14ac:dyDescent="0.25">
      <c r="B12" s="57" t="s">
        <v>695</v>
      </c>
      <c r="C12" s="22" t="s">
        <v>40</v>
      </c>
      <c r="D12" s="73">
        <v>11</v>
      </c>
      <c r="E12" s="23">
        <v>2025</v>
      </c>
      <c r="F12" s="24" t="s">
        <v>41</v>
      </c>
      <c r="G12" s="23" t="s">
        <v>13</v>
      </c>
      <c r="H12" s="33" t="s">
        <v>42</v>
      </c>
      <c r="I12" s="23" t="s">
        <v>15</v>
      </c>
      <c r="J12" s="23" t="s">
        <v>43</v>
      </c>
      <c r="K12" s="21">
        <v>205</v>
      </c>
      <c r="L12" s="83">
        <f>VLOOKUP(K12,'Tarifs 40%'!$B$4:$C$20,2,TRUE)</f>
        <v>13.6</v>
      </c>
      <c r="M12" s="45">
        <f t="shared" si="0"/>
        <v>5.44</v>
      </c>
      <c r="N12" s="36">
        <v>5.45</v>
      </c>
      <c r="O12" s="53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</row>
    <row r="13" spans="2:256" ht="52.8" x14ac:dyDescent="0.25">
      <c r="B13" s="57" t="s">
        <v>695</v>
      </c>
      <c r="C13" s="22" t="s">
        <v>44</v>
      </c>
      <c r="D13" s="73">
        <v>12</v>
      </c>
      <c r="E13" s="23">
        <v>2025</v>
      </c>
      <c r="F13" s="24" t="s">
        <v>45</v>
      </c>
      <c r="G13" s="23" t="s">
        <v>46</v>
      </c>
      <c r="H13" s="33" t="s">
        <v>47</v>
      </c>
      <c r="I13" s="23" t="s">
        <v>48</v>
      </c>
      <c r="J13" s="23" t="s">
        <v>654</v>
      </c>
      <c r="K13" s="21">
        <v>2536</v>
      </c>
      <c r="L13" s="83">
        <f>VLOOKUP(K13,'Tarifs 40%'!$B$4:$C$20,2,TRUE)</f>
        <v>85.4</v>
      </c>
      <c r="M13" s="45">
        <f t="shared" si="0"/>
        <v>34.159999999999997</v>
      </c>
      <c r="N13" s="36">
        <v>34.15</v>
      </c>
      <c r="O13" s="5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</row>
    <row r="14" spans="2:256" ht="39.6" x14ac:dyDescent="0.25">
      <c r="B14" s="57" t="s">
        <v>695</v>
      </c>
      <c r="C14" s="22" t="s">
        <v>49</v>
      </c>
      <c r="D14" s="73">
        <v>13</v>
      </c>
      <c r="E14" s="23">
        <v>2025</v>
      </c>
      <c r="F14" s="24" t="s">
        <v>50</v>
      </c>
      <c r="G14" s="23" t="s">
        <v>21</v>
      </c>
      <c r="H14" s="33" t="s">
        <v>51</v>
      </c>
      <c r="I14" s="23" t="s">
        <v>52</v>
      </c>
      <c r="J14" s="23" t="s">
        <v>53</v>
      </c>
      <c r="K14" s="21">
        <v>377</v>
      </c>
      <c r="L14" s="83">
        <f>VLOOKUP(K14,'Tarifs 40%'!$B$4:$C$20,2,TRUE)</f>
        <v>23.5</v>
      </c>
      <c r="M14" s="45">
        <f t="shared" si="0"/>
        <v>9.4</v>
      </c>
      <c r="N14" s="36">
        <v>9.4499999999999993</v>
      </c>
      <c r="O14" s="53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</row>
    <row r="15" spans="2:256" ht="26.4" x14ac:dyDescent="0.25">
      <c r="B15" s="57" t="s">
        <v>695</v>
      </c>
      <c r="C15" s="22" t="s">
        <v>54</v>
      </c>
      <c r="D15" s="73">
        <v>14</v>
      </c>
      <c r="E15" s="23">
        <v>2025</v>
      </c>
      <c r="F15" s="24" t="s">
        <v>55</v>
      </c>
      <c r="G15" s="23" t="s">
        <v>56</v>
      </c>
      <c r="H15" s="33" t="s">
        <v>9</v>
      </c>
      <c r="I15" s="23" t="s">
        <v>10</v>
      </c>
      <c r="J15" s="23" t="s">
        <v>655</v>
      </c>
      <c r="K15" s="21">
        <v>332</v>
      </c>
      <c r="L15" s="83">
        <f>VLOOKUP(K15,'Tarifs 40%'!$B$4:$C$20,2,TRUE)</f>
        <v>23.5</v>
      </c>
      <c r="M15" s="45">
        <f t="shared" si="0"/>
        <v>9.4</v>
      </c>
      <c r="N15" s="36">
        <v>9.4499999999999993</v>
      </c>
      <c r="O15" s="53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</row>
    <row r="16" spans="2:256" ht="26.4" x14ac:dyDescent="0.25">
      <c r="B16" s="57" t="s">
        <v>695</v>
      </c>
      <c r="C16" s="22" t="s">
        <v>57</v>
      </c>
      <c r="D16" s="73">
        <v>15</v>
      </c>
      <c r="E16" s="23">
        <v>2025</v>
      </c>
      <c r="F16" s="24" t="s">
        <v>58</v>
      </c>
      <c r="G16" s="23" t="s">
        <v>31</v>
      </c>
      <c r="H16" s="33" t="s">
        <v>9</v>
      </c>
      <c r="I16" s="23" t="s">
        <v>10</v>
      </c>
      <c r="J16" s="23" t="s">
        <v>59</v>
      </c>
      <c r="K16" s="21">
        <v>2244</v>
      </c>
      <c r="L16" s="83">
        <f>VLOOKUP(K16,'Tarifs 40%'!$B$4:$C$20,2,TRUE)</f>
        <v>78</v>
      </c>
      <c r="M16" s="45">
        <f t="shared" si="0"/>
        <v>31.2</v>
      </c>
      <c r="N16" s="36">
        <v>31.25</v>
      </c>
      <c r="O16" s="53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</row>
    <row r="17" spans="2:15" ht="26.4" x14ac:dyDescent="0.25">
      <c r="B17" s="57" t="s">
        <v>695</v>
      </c>
      <c r="C17" s="22" t="s">
        <v>60</v>
      </c>
      <c r="D17" s="73">
        <v>16</v>
      </c>
      <c r="E17" s="23">
        <v>2025</v>
      </c>
      <c r="F17" s="24" t="s">
        <v>61</v>
      </c>
      <c r="G17" s="23" t="s">
        <v>31</v>
      </c>
      <c r="H17" s="33" t="s">
        <v>9</v>
      </c>
      <c r="I17" s="23" t="s">
        <v>10</v>
      </c>
      <c r="J17" s="23" t="s">
        <v>62</v>
      </c>
      <c r="K17" s="21">
        <v>100</v>
      </c>
      <c r="L17" s="83">
        <f>VLOOKUP(K17,'Tarifs 40%'!$B$4:$C$20,2,TRUE)</f>
        <v>13.6</v>
      </c>
      <c r="M17" s="45">
        <f t="shared" si="0"/>
        <v>5.44</v>
      </c>
      <c r="N17" s="36">
        <v>5.45</v>
      </c>
      <c r="O17" s="53"/>
    </row>
    <row r="18" spans="2:15" ht="15" x14ac:dyDescent="0.25">
      <c r="B18" s="57" t="s">
        <v>695</v>
      </c>
      <c r="C18" s="22" t="s">
        <v>63</v>
      </c>
      <c r="D18" s="73">
        <v>17</v>
      </c>
      <c r="E18" s="23">
        <v>2025</v>
      </c>
      <c r="F18" s="24" t="s">
        <v>64</v>
      </c>
      <c r="G18" s="23" t="s">
        <v>65</v>
      </c>
      <c r="H18" s="33" t="s">
        <v>42</v>
      </c>
      <c r="I18" s="23" t="s">
        <v>15</v>
      </c>
      <c r="J18" s="23" t="s">
        <v>66</v>
      </c>
      <c r="K18" s="21">
        <v>555</v>
      </c>
      <c r="L18" s="83">
        <f>VLOOKUP(K18,'Tarifs 40%'!$B$4:$C$20,2,TRUE)</f>
        <v>33.299999999999997</v>
      </c>
      <c r="M18" s="45">
        <f t="shared" si="0"/>
        <v>13.32</v>
      </c>
      <c r="N18" s="36">
        <v>13.35</v>
      </c>
      <c r="O18" s="53"/>
    </row>
    <row r="19" spans="2:15" ht="15" x14ac:dyDescent="0.25">
      <c r="B19" s="57" t="s">
        <v>696</v>
      </c>
      <c r="C19" s="22" t="s">
        <v>697</v>
      </c>
      <c r="D19" s="73">
        <v>18</v>
      </c>
      <c r="E19" s="23">
        <v>2025</v>
      </c>
      <c r="F19" s="24" t="s">
        <v>67</v>
      </c>
      <c r="G19" s="23" t="s">
        <v>68</v>
      </c>
      <c r="H19" s="33" t="s">
        <v>9</v>
      </c>
      <c r="I19" s="23" t="s">
        <v>10</v>
      </c>
      <c r="J19" s="23" t="s">
        <v>69</v>
      </c>
      <c r="K19" s="21">
        <v>43</v>
      </c>
      <c r="L19" s="83">
        <f>VLOOKUP(K19,'Tarifs 40%'!$B$4:$C$20,2,TRUE)</f>
        <v>13.6</v>
      </c>
      <c r="M19" s="45">
        <f t="shared" si="0"/>
        <v>5.44</v>
      </c>
      <c r="N19" s="36">
        <v>5.45</v>
      </c>
      <c r="O19" s="53"/>
    </row>
    <row r="20" spans="2:15" ht="26.4" x14ac:dyDescent="0.25">
      <c r="B20" s="70" t="s">
        <v>695</v>
      </c>
      <c r="C20" s="22" t="s">
        <v>70</v>
      </c>
      <c r="D20" s="73">
        <v>19</v>
      </c>
      <c r="E20" s="23">
        <v>2025</v>
      </c>
      <c r="F20" s="24" t="s">
        <v>71</v>
      </c>
      <c r="G20" s="23" t="s">
        <v>72</v>
      </c>
      <c r="H20" s="33" t="s">
        <v>9</v>
      </c>
      <c r="I20" s="23" t="s">
        <v>10</v>
      </c>
      <c r="J20" s="23" t="s">
        <v>73</v>
      </c>
      <c r="K20" s="21">
        <v>1810</v>
      </c>
      <c r="L20" s="83">
        <f>VLOOKUP(K20,'Tarifs 40%'!$B$4:$C$20,2,TRUE)</f>
        <v>69.3</v>
      </c>
      <c r="M20" s="45">
        <f t="shared" si="0"/>
        <v>27.72</v>
      </c>
      <c r="N20" s="36">
        <v>27.75</v>
      </c>
      <c r="O20" s="53"/>
    </row>
    <row r="21" spans="2:15" ht="26.4" x14ac:dyDescent="0.25">
      <c r="B21" s="70" t="s">
        <v>695</v>
      </c>
      <c r="C21" s="22" t="s">
        <v>657</v>
      </c>
      <c r="D21" s="73">
        <v>20</v>
      </c>
      <c r="E21" s="23">
        <v>2025</v>
      </c>
      <c r="F21" s="24" t="s">
        <v>74</v>
      </c>
      <c r="G21" s="23" t="s">
        <v>13</v>
      </c>
      <c r="H21" s="33" t="s">
        <v>9</v>
      </c>
      <c r="I21" s="23" t="s">
        <v>10</v>
      </c>
      <c r="J21" s="23" t="s">
        <v>75</v>
      </c>
      <c r="K21" s="21">
        <v>863</v>
      </c>
      <c r="L21" s="83">
        <f>VLOOKUP(K21,'Tarifs 40%'!$B$4:$C$20,2,TRUE)</f>
        <v>39.5</v>
      </c>
      <c r="M21" s="45">
        <f t="shared" si="0"/>
        <v>15.8</v>
      </c>
      <c r="N21" s="36">
        <v>15.85</v>
      </c>
      <c r="O21" s="53"/>
    </row>
    <row r="22" spans="2:15" ht="15" x14ac:dyDescent="0.25">
      <c r="B22" s="70" t="s">
        <v>695</v>
      </c>
      <c r="C22" s="22" t="s">
        <v>76</v>
      </c>
      <c r="D22" s="73">
        <v>21</v>
      </c>
      <c r="E22" s="23">
        <v>2025</v>
      </c>
      <c r="F22" s="24" t="s">
        <v>77</v>
      </c>
      <c r="G22" s="23" t="s">
        <v>21</v>
      </c>
      <c r="H22" s="33" t="s">
        <v>78</v>
      </c>
      <c r="I22" s="23" t="s">
        <v>79</v>
      </c>
      <c r="J22" s="23" t="s">
        <v>80</v>
      </c>
      <c r="K22" s="21">
        <v>420</v>
      </c>
      <c r="L22" s="83">
        <f>VLOOKUP(K22,'Tarifs 40%'!$B$4:$C$20,2,TRUE)</f>
        <v>23.5</v>
      </c>
      <c r="M22" s="45">
        <f t="shared" si="0"/>
        <v>9.4</v>
      </c>
      <c r="N22" s="36">
        <v>9.4499999999999993</v>
      </c>
      <c r="O22" s="53"/>
    </row>
    <row r="23" spans="2:15" ht="15" x14ac:dyDescent="0.25">
      <c r="B23" s="70" t="s">
        <v>695</v>
      </c>
      <c r="C23" s="22" t="s">
        <v>81</v>
      </c>
      <c r="D23" s="73">
        <v>22</v>
      </c>
      <c r="E23" s="23">
        <v>2025</v>
      </c>
      <c r="F23" s="24" t="s">
        <v>82</v>
      </c>
      <c r="G23" s="23" t="s">
        <v>83</v>
      </c>
      <c r="H23" s="33" t="s">
        <v>9</v>
      </c>
      <c r="I23" s="23" t="s">
        <v>10</v>
      </c>
      <c r="J23" s="23" t="s">
        <v>84</v>
      </c>
      <c r="K23" s="21">
        <v>875</v>
      </c>
      <c r="L23" s="83">
        <f>VLOOKUP(K23,'Tarifs 40%'!$B$4:$C$20,2,TRUE)</f>
        <v>39.5</v>
      </c>
      <c r="M23" s="45">
        <f t="shared" si="0"/>
        <v>15.8</v>
      </c>
      <c r="N23" s="36">
        <v>15.85</v>
      </c>
      <c r="O23" s="53"/>
    </row>
    <row r="24" spans="2:15" ht="26.4" x14ac:dyDescent="0.25">
      <c r="B24" s="70" t="s">
        <v>695</v>
      </c>
      <c r="C24" s="22" t="s">
        <v>85</v>
      </c>
      <c r="D24" s="73">
        <v>23</v>
      </c>
      <c r="E24" s="23">
        <v>2025</v>
      </c>
      <c r="F24" s="24" t="s">
        <v>86</v>
      </c>
      <c r="G24" s="23"/>
      <c r="H24" s="33" t="s">
        <v>28</v>
      </c>
      <c r="I24" s="23" t="s">
        <v>15</v>
      </c>
      <c r="J24" s="23" t="s">
        <v>87</v>
      </c>
      <c r="K24" s="21">
        <v>259</v>
      </c>
      <c r="L24" s="83">
        <f>VLOOKUP(K24,'Tarifs 40%'!$B$4:$C$20,2,TRUE)</f>
        <v>23.5</v>
      </c>
      <c r="M24" s="45">
        <f t="shared" si="0"/>
        <v>9.4</v>
      </c>
      <c r="N24" s="36">
        <v>9.4499999999999993</v>
      </c>
      <c r="O24" s="53"/>
    </row>
    <row r="25" spans="2:15" ht="26.4" x14ac:dyDescent="0.25">
      <c r="B25" s="70" t="s">
        <v>695</v>
      </c>
      <c r="C25" s="22" t="s">
        <v>88</v>
      </c>
      <c r="D25" s="73">
        <v>24</v>
      </c>
      <c r="E25" s="23">
        <v>2025</v>
      </c>
      <c r="F25" s="24" t="s">
        <v>89</v>
      </c>
      <c r="G25" s="23" t="s">
        <v>90</v>
      </c>
      <c r="H25" s="33" t="s">
        <v>91</v>
      </c>
      <c r="I25" s="23" t="s">
        <v>92</v>
      </c>
      <c r="J25" s="23" t="s">
        <v>93</v>
      </c>
      <c r="K25" s="21">
        <v>2994</v>
      </c>
      <c r="L25" s="83">
        <f>VLOOKUP(K25,'Tarifs 40%'!$B$4:$C$20,2,TRUE)</f>
        <v>85.4</v>
      </c>
      <c r="M25" s="45">
        <f t="shared" si="0"/>
        <v>34.159999999999997</v>
      </c>
      <c r="N25" s="36">
        <v>34.15</v>
      </c>
      <c r="O25" s="53"/>
    </row>
    <row r="26" spans="2:15" ht="39.6" x14ac:dyDescent="0.25">
      <c r="B26" s="70" t="s">
        <v>695</v>
      </c>
      <c r="C26" s="22" t="s">
        <v>94</v>
      </c>
      <c r="D26" s="73">
        <v>25</v>
      </c>
      <c r="E26" s="23">
        <v>2025</v>
      </c>
      <c r="F26" s="24" t="s">
        <v>95</v>
      </c>
      <c r="G26" s="23" t="s">
        <v>21</v>
      </c>
      <c r="H26" s="33" t="s">
        <v>9</v>
      </c>
      <c r="I26" s="23" t="s">
        <v>10</v>
      </c>
      <c r="J26" s="23" t="s">
        <v>96</v>
      </c>
      <c r="K26" s="21">
        <v>1935</v>
      </c>
      <c r="L26" s="83">
        <f>VLOOKUP(K26,'Tarifs 40%'!$B$4:$C$20,2,TRUE)</f>
        <v>69.3</v>
      </c>
      <c r="M26" s="45">
        <f t="shared" si="0"/>
        <v>27.72</v>
      </c>
      <c r="N26" s="36">
        <v>27.75</v>
      </c>
      <c r="O26" s="53"/>
    </row>
    <row r="27" spans="2:15" ht="15" x14ac:dyDescent="0.25">
      <c r="B27" s="70" t="s">
        <v>695</v>
      </c>
      <c r="C27" s="22" t="s">
        <v>97</v>
      </c>
      <c r="D27" s="73">
        <v>26</v>
      </c>
      <c r="E27" s="23">
        <v>2025</v>
      </c>
      <c r="F27" s="24" t="s">
        <v>98</v>
      </c>
      <c r="G27" s="23" t="s">
        <v>99</v>
      </c>
      <c r="H27" s="33" t="s">
        <v>9</v>
      </c>
      <c r="I27" s="23" t="s">
        <v>10</v>
      </c>
      <c r="J27" s="23" t="s">
        <v>100</v>
      </c>
      <c r="K27" s="21">
        <v>88</v>
      </c>
      <c r="L27" s="83">
        <f>VLOOKUP(K27,'Tarifs 40%'!$B$4:$C$20,2,TRUE)</f>
        <v>13.6</v>
      </c>
      <c r="M27" s="45">
        <f t="shared" si="0"/>
        <v>5.44</v>
      </c>
      <c r="N27" s="36">
        <v>5.45</v>
      </c>
      <c r="O27" s="53"/>
    </row>
    <row r="28" spans="2:15" ht="15" x14ac:dyDescent="0.25">
      <c r="B28" s="70" t="s">
        <v>695</v>
      </c>
      <c r="C28" s="22" t="s">
        <v>101</v>
      </c>
      <c r="D28" s="73">
        <v>27</v>
      </c>
      <c r="E28" s="23">
        <v>2025</v>
      </c>
      <c r="F28" s="24" t="s">
        <v>681</v>
      </c>
      <c r="G28" s="23" t="s">
        <v>56</v>
      </c>
      <c r="H28" s="33" t="s">
        <v>9</v>
      </c>
      <c r="I28" s="23" t="s">
        <v>197</v>
      </c>
      <c r="J28" s="23" t="s">
        <v>102</v>
      </c>
      <c r="K28" s="21">
        <v>518</v>
      </c>
      <c r="L28" s="83">
        <f>VLOOKUP(K28,'Tarifs 40%'!$B$4:$C$20,2,TRUE)</f>
        <v>33.299999999999997</v>
      </c>
      <c r="M28" s="45">
        <f t="shared" si="0"/>
        <v>13.32</v>
      </c>
      <c r="N28" s="36">
        <v>13.35</v>
      </c>
      <c r="O28" s="53">
        <v>45561</v>
      </c>
    </row>
    <row r="29" spans="2:15" ht="15" x14ac:dyDescent="0.25">
      <c r="B29" s="70" t="s">
        <v>695</v>
      </c>
      <c r="C29" s="22" t="s">
        <v>103</v>
      </c>
      <c r="D29" s="73">
        <v>28</v>
      </c>
      <c r="E29" s="23">
        <v>2025</v>
      </c>
      <c r="F29" s="24" t="s">
        <v>104</v>
      </c>
      <c r="G29" s="23"/>
      <c r="H29" s="33" t="s">
        <v>9</v>
      </c>
      <c r="I29" s="23" t="s">
        <v>10</v>
      </c>
      <c r="J29" s="23" t="s">
        <v>105</v>
      </c>
      <c r="K29" s="21">
        <v>561</v>
      </c>
      <c r="L29" s="83">
        <f>VLOOKUP(K29,'Tarifs 40%'!$B$4:$C$20,2,TRUE)</f>
        <v>33.299999999999997</v>
      </c>
      <c r="M29" s="45">
        <f t="shared" si="0"/>
        <v>13.32</v>
      </c>
      <c r="N29" s="36">
        <v>13.35</v>
      </c>
      <c r="O29" s="53"/>
    </row>
    <row r="30" spans="2:15" ht="26.4" x14ac:dyDescent="0.25">
      <c r="B30" s="70" t="s">
        <v>695</v>
      </c>
      <c r="C30" s="22" t="s">
        <v>106</v>
      </c>
      <c r="D30" s="73">
        <v>29</v>
      </c>
      <c r="E30" s="23">
        <v>2025</v>
      </c>
      <c r="F30" s="24" t="s">
        <v>107</v>
      </c>
      <c r="G30" s="23" t="s">
        <v>99</v>
      </c>
      <c r="H30" s="33" t="s">
        <v>42</v>
      </c>
      <c r="I30" s="23" t="s">
        <v>15</v>
      </c>
      <c r="J30" s="23" t="s">
        <v>658</v>
      </c>
      <c r="K30" s="21">
        <v>934</v>
      </c>
      <c r="L30" s="83">
        <f>VLOOKUP(K30,'Tarifs 40%'!$B$4:$C$20,2,TRUE)</f>
        <v>39.5</v>
      </c>
      <c r="M30" s="45">
        <f t="shared" si="0"/>
        <v>15.8</v>
      </c>
      <c r="N30" s="36">
        <v>15.85</v>
      </c>
      <c r="O30" s="53"/>
    </row>
    <row r="31" spans="2:15" ht="26.4" x14ac:dyDescent="0.25">
      <c r="B31" s="70" t="s">
        <v>695</v>
      </c>
      <c r="C31" s="22" t="s">
        <v>108</v>
      </c>
      <c r="D31" s="73">
        <v>30</v>
      </c>
      <c r="E31" s="23">
        <v>2025</v>
      </c>
      <c r="F31" s="24" t="s">
        <v>109</v>
      </c>
      <c r="G31" s="23"/>
      <c r="H31" s="33" t="s">
        <v>91</v>
      </c>
      <c r="I31" s="23" t="s">
        <v>92</v>
      </c>
      <c r="J31" s="23" t="s">
        <v>110</v>
      </c>
      <c r="K31" s="21">
        <v>658</v>
      </c>
      <c r="L31" s="83">
        <f>VLOOKUP(K31,'Tarifs 40%'!$B$4:$C$20,2,TRUE)</f>
        <v>33.299999999999997</v>
      </c>
      <c r="M31" s="45">
        <f t="shared" si="0"/>
        <v>13.32</v>
      </c>
      <c r="N31" s="36">
        <v>13.35</v>
      </c>
      <c r="O31" s="53"/>
    </row>
    <row r="32" spans="2:15" ht="15" x14ac:dyDescent="0.25">
      <c r="B32" s="70" t="s">
        <v>695</v>
      </c>
      <c r="C32" s="22" t="s">
        <v>111</v>
      </c>
      <c r="D32" s="73">
        <v>31</v>
      </c>
      <c r="E32" s="23">
        <v>2025</v>
      </c>
      <c r="F32" s="24" t="s">
        <v>112</v>
      </c>
      <c r="G32" s="23" t="s">
        <v>31</v>
      </c>
      <c r="H32" s="33" t="s">
        <v>9</v>
      </c>
      <c r="I32" s="23" t="s">
        <v>10</v>
      </c>
      <c r="J32" s="23" t="s">
        <v>113</v>
      </c>
      <c r="K32" s="21">
        <v>1000</v>
      </c>
      <c r="L32" s="83">
        <f>VLOOKUP(K32,'Tarifs 40%'!$B$4:$C$20,2,TRUE)</f>
        <v>39.5</v>
      </c>
      <c r="M32" s="45">
        <f t="shared" si="0"/>
        <v>15.8</v>
      </c>
      <c r="N32" s="36">
        <v>15.85</v>
      </c>
      <c r="O32" s="53"/>
    </row>
    <row r="33" spans="2:15" ht="26.4" x14ac:dyDescent="0.25">
      <c r="B33" s="70" t="s">
        <v>695</v>
      </c>
      <c r="C33" s="22" t="s">
        <v>114</v>
      </c>
      <c r="D33" s="73">
        <v>32</v>
      </c>
      <c r="E33" s="23">
        <v>2025</v>
      </c>
      <c r="F33" s="24" t="s">
        <v>115</v>
      </c>
      <c r="G33" s="23"/>
      <c r="H33" s="33" t="s">
        <v>14</v>
      </c>
      <c r="I33" s="23" t="s">
        <v>15</v>
      </c>
      <c r="J33" s="23" t="s">
        <v>116</v>
      </c>
      <c r="K33" s="21">
        <v>417</v>
      </c>
      <c r="L33" s="83">
        <f>VLOOKUP(K33,'Tarifs 40%'!$B$4:$C$20,2,TRUE)</f>
        <v>23.5</v>
      </c>
      <c r="M33" s="45">
        <f t="shared" si="0"/>
        <v>9.4</v>
      </c>
      <c r="N33" s="36">
        <v>9.4499999999999993</v>
      </c>
      <c r="O33" s="53"/>
    </row>
    <row r="34" spans="2:15" ht="15" x14ac:dyDescent="0.25">
      <c r="B34" s="70" t="s">
        <v>695</v>
      </c>
      <c r="C34" s="22" t="s">
        <v>633</v>
      </c>
      <c r="D34" s="73">
        <v>33</v>
      </c>
      <c r="E34" s="23">
        <v>2025</v>
      </c>
      <c r="F34" s="24" t="s">
        <v>634</v>
      </c>
      <c r="G34" s="23"/>
      <c r="H34" s="33" t="s">
        <v>14</v>
      </c>
      <c r="I34" s="23" t="s">
        <v>15</v>
      </c>
      <c r="J34" s="23" t="s">
        <v>368</v>
      </c>
      <c r="K34" s="21">
        <v>441</v>
      </c>
      <c r="L34" s="83">
        <f>VLOOKUP(K34,'Tarifs 40%'!$B$4:$C$20,2,TRUE)</f>
        <v>23.5</v>
      </c>
      <c r="M34" s="45">
        <f t="shared" ref="M34:M65" si="1">L34*40/100</f>
        <v>9.4</v>
      </c>
      <c r="N34" s="36">
        <v>9.4499999999999993</v>
      </c>
      <c r="O34" s="53"/>
    </row>
    <row r="35" spans="2:15" ht="15" x14ac:dyDescent="0.25">
      <c r="B35" s="70" t="s">
        <v>695</v>
      </c>
      <c r="C35" s="22" t="s">
        <v>117</v>
      </c>
      <c r="D35" s="73">
        <v>34</v>
      </c>
      <c r="E35" s="23">
        <v>2025</v>
      </c>
      <c r="F35" s="24" t="s">
        <v>118</v>
      </c>
      <c r="G35" s="23" t="s">
        <v>31</v>
      </c>
      <c r="H35" s="33" t="s">
        <v>9</v>
      </c>
      <c r="I35" s="23" t="s">
        <v>10</v>
      </c>
      <c r="J35" s="23" t="s">
        <v>119</v>
      </c>
      <c r="K35" s="21">
        <v>228</v>
      </c>
      <c r="L35" s="83">
        <f>VLOOKUP(K35,'Tarifs 40%'!$B$4:$C$20,2,TRUE)</f>
        <v>13.6</v>
      </c>
      <c r="M35" s="45">
        <f t="shared" si="1"/>
        <v>5.44</v>
      </c>
      <c r="N35" s="36">
        <v>5.45</v>
      </c>
      <c r="O35" s="53"/>
    </row>
    <row r="36" spans="2:15" ht="15" x14ac:dyDescent="0.25">
      <c r="B36" s="70" t="s">
        <v>695</v>
      </c>
      <c r="C36" s="22" t="s">
        <v>120</v>
      </c>
      <c r="D36" s="73">
        <v>35</v>
      </c>
      <c r="E36" s="23">
        <v>2025</v>
      </c>
      <c r="F36" s="24" t="s">
        <v>121</v>
      </c>
      <c r="G36" s="23"/>
      <c r="H36" s="33" t="s">
        <v>91</v>
      </c>
      <c r="I36" s="23" t="s">
        <v>92</v>
      </c>
      <c r="J36" s="23" t="s">
        <v>122</v>
      </c>
      <c r="K36" s="21">
        <v>131</v>
      </c>
      <c r="L36" s="83">
        <f>VLOOKUP(K36,'Tarifs 40%'!$B$4:$C$20,2,TRUE)</f>
        <v>13.6</v>
      </c>
      <c r="M36" s="45">
        <f t="shared" si="1"/>
        <v>5.44</v>
      </c>
      <c r="N36" s="36">
        <v>5.45</v>
      </c>
      <c r="O36" s="53"/>
    </row>
    <row r="37" spans="2:15" ht="26.4" x14ac:dyDescent="0.25">
      <c r="B37" s="70" t="s">
        <v>695</v>
      </c>
      <c r="C37" s="22" t="s">
        <v>123</v>
      </c>
      <c r="D37" s="73">
        <v>36</v>
      </c>
      <c r="E37" s="23">
        <v>2025</v>
      </c>
      <c r="F37" s="24" t="s">
        <v>124</v>
      </c>
      <c r="G37" s="23" t="s">
        <v>13</v>
      </c>
      <c r="H37" s="33" t="s">
        <v>51</v>
      </c>
      <c r="I37" s="23" t="s">
        <v>125</v>
      </c>
      <c r="J37" s="23" t="s">
        <v>126</v>
      </c>
      <c r="K37" s="21">
        <v>175</v>
      </c>
      <c r="L37" s="83">
        <f>VLOOKUP(K37,'Tarifs 40%'!$B$4:$C$20,2,TRUE)</f>
        <v>13.6</v>
      </c>
      <c r="M37" s="45">
        <f t="shared" si="1"/>
        <v>5.44</v>
      </c>
      <c r="N37" s="36">
        <v>5.45</v>
      </c>
      <c r="O37" s="53"/>
    </row>
    <row r="38" spans="2:15" ht="26.4" x14ac:dyDescent="0.25">
      <c r="B38" s="70" t="s">
        <v>695</v>
      </c>
      <c r="C38" s="22" t="s">
        <v>127</v>
      </c>
      <c r="D38" s="73">
        <v>37</v>
      </c>
      <c r="E38" s="23">
        <v>2025</v>
      </c>
      <c r="F38" s="24" t="s">
        <v>128</v>
      </c>
      <c r="G38" s="23" t="s">
        <v>56</v>
      </c>
      <c r="H38" s="33" t="s">
        <v>129</v>
      </c>
      <c r="I38" s="23" t="s">
        <v>130</v>
      </c>
      <c r="J38" s="23" t="s">
        <v>131</v>
      </c>
      <c r="K38" s="21">
        <v>1500</v>
      </c>
      <c r="L38" s="83">
        <f>VLOOKUP(K38,'Tarifs 40%'!$B$4:$C$20,2,TRUE)</f>
        <v>54.4</v>
      </c>
      <c r="M38" s="45">
        <f t="shared" si="1"/>
        <v>21.76</v>
      </c>
      <c r="N38" s="36">
        <v>21.75</v>
      </c>
      <c r="O38" s="53"/>
    </row>
    <row r="39" spans="2:15" ht="52.8" x14ac:dyDescent="0.25">
      <c r="B39" s="57" t="s">
        <v>696</v>
      </c>
      <c r="C39" s="22" t="s">
        <v>132</v>
      </c>
      <c r="D39" s="73">
        <v>38</v>
      </c>
      <c r="E39" s="23">
        <v>2025</v>
      </c>
      <c r="F39" s="24" t="s">
        <v>133</v>
      </c>
      <c r="G39" s="23"/>
      <c r="H39" s="33" t="s">
        <v>28</v>
      </c>
      <c r="I39" s="23" t="s">
        <v>15</v>
      </c>
      <c r="J39" s="23" t="s">
        <v>134</v>
      </c>
      <c r="K39" s="21">
        <v>4457</v>
      </c>
      <c r="L39" s="85">
        <f>VLOOKUP(K39,'Tarifs 40%'!$B$4:$C$20,2,TRUE)</f>
        <v>93.3</v>
      </c>
      <c r="M39" s="45">
        <f t="shared" si="1"/>
        <v>37.32</v>
      </c>
      <c r="N39" s="61">
        <v>37.450000000000003</v>
      </c>
      <c r="O39" s="53"/>
    </row>
    <row r="40" spans="2:15" ht="26.4" x14ac:dyDescent="0.25">
      <c r="B40" s="57" t="s">
        <v>696</v>
      </c>
      <c r="C40" s="22" t="s">
        <v>135</v>
      </c>
      <c r="D40" s="73">
        <v>39</v>
      </c>
      <c r="E40" s="23">
        <v>2025</v>
      </c>
      <c r="F40" s="24" t="s">
        <v>136</v>
      </c>
      <c r="G40" s="23" t="s">
        <v>31</v>
      </c>
      <c r="H40" s="33" t="s">
        <v>9</v>
      </c>
      <c r="I40" s="23" t="s">
        <v>10</v>
      </c>
      <c r="J40" s="23" t="s">
        <v>137</v>
      </c>
      <c r="K40" s="21">
        <v>1362</v>
      </c>
      <c r="L40" s="83">
        <f>VLOOKUP(K40,'Tarifs 40%'!$B$4:$C$20,2,TRUE)</f>
        <v>54.4</v>
      </c>
      <c r="M40" s="45">
        <f t="shared" si="1"/>
        <v>21.76</v>
      </c>
      <c r="N40" s="36">
        <v>21.75</v>
      </c>
      <c r="O40" s="53"/>
    </row>
    <row r="41" spans="2:15" ht="26.4" x14ac:dyDescent="0.25">
      <c r="B41" s="57" t="s">
        <v>695</v>
      </c>
      <c r="C41" s="22" t="s">
        <v>138</v>
      </c>
      <c r="D41" s="73">
        <v>40</v>
      </c>
      <c r="E41" s="23">
        <v>2025</v>
      </c>
      <c r="F41" s="24" t="s">
        <v>139</v>
      </c>
      <c r="G41" s="23" t="s">
        <v>99</v>
      </c>
      <c r="H41" s="33" t="s">
        <v>9</v>
      </c>
      <c r="I41" s="23" t="s">
        <v>10</v>
      </c>
      <c r="J41" s="23" t="s">
        <v>140</v>
      </c>
      <c r="K41" s="21">
        <v>294</v>
      </c>
      <c r="L41" s="83">
        <f>VLOOKUP(K41,'Tarifs 40%'!$B$4:$C$20,2,TRUE)</f>
        <v>23.5</v>
      </c>
      <c r="M41" s="45">
        <f t="shared" si="1"/>
        <v>9.4</v>
      </c>
      <c r="N41" s="36">
        <v>9.4499999999999993</v>
      </c>
      <c r="O41" s="53"/>
    </row>
    <row r="42" spans="2:15" ht="15" x14ac:dyDescent="0.25">
      <c r="B42" s="57" t="s">
        <v>696</v>
      </c>
      <c r="C42" s="22" t="s">
        <v>700</v>
      </c>
      <c r="D42" s="73">
        <v>41</v>
      </c>
      <c r="E42" s="23">
        <v>2025</v>
      </c>
      <c r="F42" s="24" t="s">
        <v>142</v>
      </c>
      <c r="G42" s="23" t="s">
        <v>143</v>
      </c>
      <c r="H42" s="33" t="s">
        <v>9</v>
      </c>
      <c r="I42" s="23" t="s">
        <v>10</v>
      </c>
      <c r="J42" s="23" t="s">
        <v>144</v>
      </c>
      <c r="K42" s="21">
        <v>3600</v>
      </c>
      <c r="L42" s="85">
        <f>VLOOKUP(K42,'Tarifs 40%'!$B$4:$C$20,2,TRUE)</f>
        <v>93.3</v>
      </c>
      <c r="M42" s="45">
        <f t="shared" si="1"/>
        <v>37.32</v>
      </c>
      <c r="N42" s="61">
        <v>37.450000000000003</v>
      </c>
      <c r="O42" s="53"/>
    </row>
    <row r="43" spans="2:15" ht="26.4" x14ac:dyDescent="0.25">
      <c r="B43" s="57" t="s">
        <v>695</v>
      </c>
      <c r="C43" s="22" t="s">
        <v>145</v>
      </c>
      <c r="D43" s="73">
        <v>42</v>
      </c>
      <c r="E43" s="23">
        <v>2025</v>
      </c>
      <c r="F43" s="24" t="s">
        <v>659</v>
      </c>
      <c r="G43" s="23"/>
      <c r="H43" s="33" t="s">
        <v>28</v>
      </c>
      <c r="I43" s="23" t="s">
        <v>15</v>
      </c>
      <c r="J43" s="23" t="s">
        <v>146</v>
      </c>
      <c r="K43" s="21">
        <v>207</v>
      </c>
      <c r="L43" s="83">
        <f>VLOOKUP(K43,'Tarifs 40%'!$B$4:$C$20,2,TRUE)</f>
        <v>13.6</v>
      </c>
      <c r="M43" s="45">
        <f t="shared" si="1"/>
        <v>5.44</v>
      </c>
      <c r="N43" s="36">
        <v>5.45</v>
      </c>
      <c r="O43" s="53"/>
    </row>
    <row r="44" spans="2:15" ht="39.6" x14ac:dyDescent="0.25">
      <c r="B44" s="57" t="s">
        <v>695</v>
      </c>
      <c r="C44" s="22" t="s">
        <v>147</v>
      </c>
      <c r="D44" s="73">
        <v>43</v>
      </c>
      <c r="E44" s="23">
        <v>2025</v>
      </c>
      <c r="F44" s="24" t="s">
        <v>148</v>
      </c>
      <c r="G44" s="23" t="s">
        <v>21</v>
      </c>
      <c r="H44" s="33" t="s">
        <v>9</v>
      </c>
      <c r="I44" s="23" t="s">
        <v>10</v>
      </c>
      <c r="J44" s="23" t="s">
        <v>149</v>
      </c>
      <c r="K44" s="21">
        <v>1279</v>
      </c>
      <c r="L44" s="83">
        <f>VLOOKUP(K44,'Tarifs 40%'!$B$4:$C$20,2,TRUE)</f>
        <v>54.4</v>
      </c>
      <c r="M44" s="45">
        <f t="shared" si="1"/>
        <v>21.76</v>
      </c>
      <c r="N44" s="36">
        <v>21.75</v>
      </c>
      <c r="O44" s="53"/>
    </row>
    <row r="45" spans="2:15" ht="26.4" x14ac:dyDescent="0.25">
      <c r="B45" s="57" t="s">
        <v>695</v>
      </c>
      <c r="C45" s="22" t="s">
        <v>150</v>
      </c>
      <c r="D45" s="73">
        <v>44</v>
      </c>
      <c r="E45" s="23">
        <v>2025</v>
      </c>
      <c r="F45" s="24" t="s">
        <v>151</v>
      </c>
      <c r="G45" s="23" t="s">
        <v>31</v>
      </c>
      <c r="H45" s="33" t="s">
        <v>9</v>
      </c>
      <c r="I45" s="23" t="s">
        <v>10</v>
      </c>
      <c r="J45" s="23" t="s">
        <v>152</v>
      </c>
      <c r="K45" s="21">
        <v>2794</v>
      </c>
      <c r="L45" s="83">
        <f>VLOOKUP(K45,'Tarifs 40%'!$B$4:$C$20,2,TRUE)</f>
        <v>85.4</v>
      </c>
      <c r="M45" s="45">
        <f t="shared" si="1"/>
        <v>34.159999999999997</v>
      </c>
      <c r="N45" s="36">
        <v>34.15</v>
      </c>
      <c r="O45" s="53"/>
    </row>
    <row r="46" spans="2:15" ht="26.4" x14ac:dyDescent="0.25">
      <c r="B46" s="57" t="s">
        <v>695</v>
      </c>
      <c r="C46" s="22" t="s">
        <v>153</v>
      </c>
      <c r="D46" s="73">
        <v>45</v>
      </c>
      <c r="E46" s="23">
        <v>2025</v>
      </c>
      <c r="F46" s="24" t="s">
        <v>154</v>
      </c>
      <c r="G46" s="23"/>
      <c r="H46" s="33" t="s">
        <v>28</v>
      </c>
      <c r="I46" s="23" t="s">
        <v>15</v>
      </c>
      <c r="J46" s="23" t="s">
        <v>155</v>
      </c>
      <c r="K46" s="21">
        <v>534</v>
      </c>
      <c r="L46" s="83">
        <f>VLOOKUP(K46,'Tarifs 40%'!$B$4:$C$20,2,TRUE)</f>
        <v>33.299999999999997</v>
      </c>
      <c r="M46" s="45">
        <f t="shared" si="1"/>
        <v>13.32</v>
      </c>
      <c r="N46" s="36">
        <v>13.35</v>
      </c>
      <c r="O46" s="53"/>
    </row>
    <row r="47" spans="2:15" ht="15" x14ac:dyDescent="0.25">
      <c r="B47" s="57" t="s">
        <v>695</v>
      </c>
      <c r="C47" s="22" t="s">
        <v>156</v>
      </c>
      <c r="D47" s="73">
        <v>46</v>
      </c>
      <c r="E47" s="23">
        <v>2025</v>
      </c>
      <c r="F47" s="24" t="s">
        <v>157</v>
      </c>
      <c r="G47" s="23"/>
      <c r="H47" s="33" t="s">
        <v>9</v>
      </c>
      <c r="I47" s="23" t="s">
        <v>158</v>
      </c>
      <c r="J47" s="23" t="s">
        <v>159</v>
      </c>
      <c r="K47" s="21">
        <v>713</v>
      </c>
      <c r="L47" s="83">
        <f>VLOOKUP(K47,'Tarifs 40%'!$B$4:$C$20,2,TRUE)</f>
        <v>33.299999999999997</v>
      </c>
      <c r="M47" s="45">
        <f t="shared" si="1"/>
        <v>13.32</v>
      </c>
      <c r="N47" s="36">
        <v>13.35</v>
      </c>
      <c r="O47" s="53"/>
    </row>
    <row r="48" spans="2:15" ht="26.4" x14ac:dyDescent="0.25">
      <c r="B48" s="57" t="s">
        <v>695</v>
      </c>
      <c r="C48" s="22" t="s">
        <v>160</v>
      </c>
      <c r="D48" s="73">
        <v>47</v>
      </c>
      <c r="E48" s="23">
        <v>2025</v>
      </c>
      <c r="F48" s="24" t="s">
        <v>685</v>
      </c>
      <c r="G48" s="23"/>
      <c r="H48" s="33" t="s">
        <v>28</v>
      </c>
      <c r="I48" s="23" t="s">
        <v>15</v>
      </c>
      <c r="J48" s="23" t="s">
        <v>161</v>
      </c>
      <c r="K48" s="21">
        <v>280</v>
      </c>
      <c r="L48" s="83">
        <f>VLOOKUP(K48,'Tarifs 40%'!$B$4:$C$20,2,TRUE)</f>
        <v>23.5</v>
      </c>
      <c r="M48" s="45">
        <f t="shared" si="1"/>
        <v>9.4</v>
      </c>
      <c r="N48" s="36">
        <v>9.4499999999999993</v>
      </c>
      <c r="O48" s="53"/>
    </row>
    <row r="49" spans="2:15" ht="26.4" x14ac:dyDescent="0.25">
      <c r="B49" s="57" t="s">
        <v>695</v>
      </c>
      <c r="C49" s="22" t="s">
        <v>162</v>
      </c>
      <c r="D49" s="73">
        <v>48</v>
      </c>
      <c r="E49" s="23">
        <v>2025</v>
      </c>
      <c r="F49" s="24" t="s">
        <v>163</v>
      </c>
      <c r="G49" s="23" t="s">
        <v>13</v>
      </c>
      <c r="H49" s="33" t="s">
        <v>9</v>
      </c>
      <c r="I49" s="23" t="s">
        <v>10</v>
      </c>
      <c r="J49" s="23" t="s">
        <v>164</v>
      </c>
      <c r="K49" s="21">
        <v>316</v>
      </c>
      <c r="L49" s="83">
        <f>VLOOKUP(K49,'Tarifs 40%'!$B$4:$C$20,2,TRUE)</f>
        <v>23.5</v>
      </c>
      <c r="M49" s="45">
        <f t="shared" si="1"/>
        <v>9.4</v>
      </c>
      <c r="N49" s="36">
        <v>9.4499999999999993</v>
      </c>
      <c r="O49" s="53"/>
    </row>
    <row r="50" spans="2:15" ht="15" x14ac:dyDescent="0.25">
      <c r="B50" s="57" t="s">
        <v>695</v>
      </c>
      <c r="C50" s="22" t="s">
        <v>165</v>
      </c>
      <c r="D50" s="73">
        <v>49</v>
      </c>
      <c r="E50" s="23">
        <v>2025</v>
      </c>
      <c r="F50" s="24" t="s">
        <v>166</v>
      </c>
      <c r="G50" s="23" t="s">
        <v>13</v>
      </c>
      <c r="H50" s="33" t="s">
        <v>9</v>
      </c>
      <c r="I50" s="23" t="s">
        <v>10</v>
      </c>
      <c r="J50" s="23" t="s">
        <v>167</v>
      </c>
      <c r="K50" s="21">
        <v>300</v>
      </c>
      <c r="L50" s="83">
        <f>VLOOKUP(K50,'Tarifs 40%'!$B$4:$C$20,2,TRUE)</f>
        <v>23.5</v>
      </c>
      <c r="M50" s="45">
        <f t="shared" si="1"/>
        <v>9.4</v>
      </c>
      <c r="N50" s="36">
        <v>9.4499999999999993</v>
      </c>
      <c r="O50" s="53"/>
    </row>
    <row r="51" spans="2:15" ht="26.4" x14ac:dyDescent="0.25">
      <c r="B51" s="57" t="s">
        <v>695</v>
      </c>
      <c r="C51" s="22" t="s">
        <v>168</v>
      </c>
      <c r="D51" s="73">
        <v>50</v>
      </c>
      <c r="E51" s="23">
        <v>2025</v>
      </c>
      <c r="F51" s="24" t="s">
        <v>169</v>
      </c>
      <c r="G51" s="23"/>
      <c r="H51" s="33" t="s">
        <v>9</v>
      </c>
      <c r="I51" s="23" t="s">
        <v>170</v>
      </c>
      <c r="J51" s="23" t="s">
        <v>171</v>
      </c>
      <c r="K51" s="21">
        <v>325</v>
      </c>
      <c r="L51" s="83">
        <f>VLOOKUP(K51,'Tarifs 40%'!$B$4:$C$20,2,TRUE)</f>
        <v>23.5</v>
      </c>
      <c r="M51" s="45">
        <f t="shared" si="1"/>
        <v>9.4</v>
      </c>
      <c r="N51" s="36">
        <v>9.4499999999999993</v>
      </c>
      <c r="O51" s="53"/>
    </row>
    <row r="52" spans="2:15" ht="15" x14ac:dyDescent="0.25">
      <c r="B52" s="57" t="s">
        <v>695</v>
      </c>
      <c r="C52" s="22" t="s">
        <v>172</v>
      </c>
      <c r="D52" s="73">
        <v>51</v>
      </c>
      <c r="E52" s="23">
        <v>2025</v>
      </c>
      <c r="F52" s="24" t="s">
        <v>173</v>
      </c>
      <c r="G52" s="23" t="s">
        <v>56</v>
      </c>
      <c r="H52" s="33" t="s">
        <v>9</v>
      </c>
      <c r="I52" s="23" t="s">
        <v>10</v>
      </c>
      <c r="J52" s="23" t="s">
        <v>174</v>
      </c>
      <c r="K52" s="21">
        <v>1598</v>
      </c>
      <c r="L52" s="83">
        <f>VLOOKUP(K52,'Tarifs 40%'!$B$4:$C$20,2,TRUE)</f>
        <v>60.7</v>
      </c>
      <c r="M52" s="45">
        <f t="shared" si="1"/>
        <v>24.28</v>
      </c>
      <c r="N52" s="36">
        <v>24.35</v>
      </c>
      <c r="O52" s="53"/>
    </row>
    <row r="53" spans="2:15" ht="15" x14ac:dyDescent="0.25">
      <c r="B53" s="57" t="s">
        <v>695</v>
      </c>
      <c r="C53" s="22" t="s">
        <v>175</v>
      </c>
      <c r="D53" s="73">
        <v>52</v>
      </c>
      <c r="E53" s="23">
        <v>2025</v>
      </c>
      <c r="F53" s="24" t="s">
        <v>176</v>
      </c>
      <c r="G53" s="23" t="s">
        <v>177</v>
      </c>
      <c r="H53" s="33" t="s">
        <v>9</v>
      </c>
      <c r="I53" s="23" t="s">
        <v>10</v>
      </c>
      <c r="J53" s="23" t="s">
        <v>178</v>
      </c>
      <c r="K53" s="21">
        <v>718</v>
      </c>
      <c r="L53" s="83">
        <f>VLOOKUP(K53,'Tarifs 40%'!$B$4:$C$20,2,TRUE)</f>
        <v>33.299999999999997</v>
      </c>
      <c r="M53" s="45">
        <f t="shared" si="1"/>
        <v>13.32</v>
      </c>
      <c r="N53" s="36">
        <v>13.35</v>
      </c>
      <c r="O53" s="53"/>
    </row>
    <row r="54" spans="2:15" ht="26.4" x14ac:dyDescent="0.25">
      <c r="B54" s="57" t="s">
        <v>695</v>
      </c>
      <c r="C54" s="22" t="s">
        <v>179</v>
      </c>
      <c r="D54" s="73">
        <v>53</v>
      </c>
      <c r="E54" s="23">
        <v>2025</v>
      </c>
      <c r="F54" s="24" t="s">
        <v>180</v>
      </c>
      <c r="G54" s="23" t="s">
        <v>13</v>
      </c>
      <c r="H54" s="33" t="s">
        <v>181</v>
      </c>
      <c r="I54" s="23" t="s">
        <v>182</v>
      </c>
      <c r="J54" s="23" t="s">
        <v>183</v>
      </c>
      <c r="K54" s="21">
        <v>411</v>
      </c>
      <c r="L54" s="83">
        <f>VLOOKUP(K54,'Tarifs 40%'!$B$4:$C$20,2,TRUE)</f>
        <v>23.5</v>
      </c>
      <c r="M54" s="45">
        <f t="shared" si="1"/>
        <v>9.4</v>
      </c>
      <c r="N54" s="36">
        <v>9.4499999999999993</v>
      </c>
      <c r="O54" s="53"/>
    </row>
    <row r="55" spans="2:15" ht="26.4" x14ac:dyDescent="0.25">
      <c r="B55" s="57" t="s">
        <v>695</v>
      </c>
      <c r="C55" s="22" t="s">
        <v>184</v>
      </c>
      <c r="D55" s="73">
        <v>54</v>
      </c>
      <c r="E55" s="23">
        <v>2025</v>
      </c>
      <c r="F55" s="24" t="s">
        <v>185</v>
      </c>
      <c r="G55" s="23" t="s">
        <v>21</v>
      </c>
      <c r="H55" s="33" t="s">
        <v>9</v>
      </c>
      <c r="I55" s="23" t="s">
        <v>10</v>
      </c>
      <c r="J55" s="23" t="s">
        <v>186</v>
      </c>
      <c r="K55" s="21">
        <v>1776</v>
      </c>
      <c r="L55" s="83">
        <f>VLOOKUP(K55,'Tarifs 40%'!$B$4:$C$20,2,TRUE)</f>
        <v>69.3</v>
      </c>
      <c r="M55" s="45">
        <f t="shared" si="1"/>
        <v>27.72</v>
      </c>
      <c r="N55" s="36">
        <v>27.75</v>
      </c>
      <c r="O55" s="53"/>
    </row>
    <row r="56" spans="2:15" ht="39.6" x14ac:dyDescent="0.25">
      <c r="B56" s="57" t="s">
        <v>695</v>
      </c>
      <c r="C56" s="22" t="s">
        <v>187</v>
      </c>
      <c r="D56" s="73">
        <v>55</v>
      </c>
      <c r="E56" s="23">
        <v>2025</v>
      </c>
      <c r="F56" s="24" t="s">
        <v>188</v>
      </c>
      <c r="G56" s="23"/>
      <c r="H56" s="33" t="s">
        <v>189</v>
      </c>
      <c r="I56" s="23" t="s">
        <v>190</v>
      </c>
      <c r="J56" s="23" t="s">
        <v>191</v>
      </c>
      <c r="K56" s="21">
        <v>668</v>
      </c>
      <c r="L56" s="83">
        <f>VLOOKUP(K56,'Tarifs 40%'!$B$4:$C$20,2,TRUE)</f>
        <v>33.299999999999997</v>
      </c>
      <c r="M56" s="45">
        <f t="shared" si="1"/>
        <v>13.32</v>
      </c>
      <c r="N56" s="36">
        <v>13.35</v>
      </c>
      <c r="O56" s="53"/>
    </row>
    <row r="57" spans="2:15" ht="26.4" x14ac:dyDescent="0.25">
      <c r="B57" s="57" t="s">
        <v>695</v>
      </c>
      <c r="C57" s="22" t="s">
        <v>192</v>
      </c>
      <c r="D57" s="73">
        <v>56</v>
      </c>
      <c r="E57" s="23">
        <v>2025</v>
      </c>
      <c r="F57" s="24" t="s">
        <v>193</v>
      </c>
      <c r="G57" s="23" t="s">
        <v>31</v>
      </c>
      <c r="H57" s="33" t="s">
        <v>9</v>
      </c>
      <c r="I57" s="23" t="s">
        <v>10</v>
      </c>
      <c r="J57" s="23" t="s">
        <v>194</v>
      </c>
      <c r="K57" s="21">
        <v>729</v>
      </c>
      <c r="L57" s="83">
        <f>VLOOKUP(K57,'Tarifs 40%'!$B$4:$C$20,2,TRUE)</f>
        <v>33.299999999999997</v>
      </c>
      <c r="M57" s="45">
        <f t="shared" si="1"/>
        <v>13.32</v>
      </c>
      <c r="N57" s="36">
        <v>13.35</v>
      </c>
      <c r="O57" s="53"/>
    </row>
    <row r="58" spans="2:15" ht="15" x14ac:dyDescent="0.25">
      <c r="B58" s="57" t="s">
        <v>695</v>
      </c>
      <c r="C58" s="22" t="s">
        <v>698</v>
      </c>
      <c r="D58" s="73">
        <v>57</v>
      </c>
      <c r="E58" s="23">
        <v>2025</v>
      </c>
      <c r="F58" s="24" t="s">
        <v>196</v>
      </c>
      <c r="G58" s="23"/>
      <c r="H58" s="33" t="s">
        <v>9</v>
      </c>
      <c r="I58" s="23" t="s">
        <v>197</v>
      </c>
      <c r="J58" s="23" t="s">
        <v>198</v>
      </c>
      <c r="K58" s="21">
        <v>550</v>
      </c>
      <c r="L58" s="83">
        <f>VLOOKUP(K58,'Tarifs 40%'!$B$4:$C$20,2,TRUE)</f>
        <v>33.299999999999997</v>
      </c>
      <c r="M58" s="45">
        <f t="shared" si="1"/>
        <v>13.32</v>
      </c>
      <c r="N58" s="36">
        <v>13.35</v>
      </c>
      <c r="O58" s="53"/>
    </row>
    <row r="59" spans="2:15" ht="26.4" x14ac:dyDescent="0.25">
      <c r="B59" s="57" t="s">
        <v>699</v>
      </c>
      <c r="C59" s="22" t="s">
        <v>199</v>
      </c>
      <c r="D59" s="73">
        <v>58</v>
      </c>
      <c r="E59" s="23">
        <v>2025</v>
      </c>
      <c r="F59" s="24" t="s">
        <v>200</v>
      </c>
      <c r="G59" s="23"/>
      <c r="H59" s="33" t="s">
        <v>42</v>
      </c>
      <c r="I59" s="23" t="s">
        <v>15</v>
      </c>
      <c r="J59" s="23" t="s">
        <v>201</v>
      </c>
      <c r="K59" s="21">
        <v>592</v>
      </c>
      <c r="L59" s="83">
        <f>VLOOKUP(K59,'Tarifs 40%'!$B$4:$C$20,2,TRUE)</f>
        <v>33.299999999999997</v>
      </c>
      <c r="M59" s="45">
        <f t="shared" si="1"/>
        <v>13.32</v>
      </c>
      <c r="N59" s="36">
        <v>13.35</v>
      </c>
      <c r="O59" s="53"/>
    </row>
    <row r="60" spans="2:15" ht="26.4" x14ac:dyDescent="0.25">
      <c r="B60" s="57" t="s">
        <v>695</v>
      </c>
      <c r="C60" s="22" t="s">
        <v>202</v>
      </c>
      <c r="D60" s="73">
        <v>59</v>
      </c>
      <c r="E60" s="23">
        <v>2025</v>
      </c>
      <c r="F60" s="24" t="s">
        <v>203</v>
      </c>
      <c r="G60" s="23" t="s">
        <v>56</v>
      </c>
      <c r="H60" s="33" t="s">
        <v>14</v>
      </c>
      <c r="I60" s="23" t="s">
        <v>15</v>
      </c>
      <c r="J60" s="23" t="s">
        <v>204</v>
      </c>
      <c r="K60" s="21">
        <v>2951</v>
      </c>
      <c r="L60" s="83">
        <f>VLOOKUP(K60,'Tarifs 40%'!$B$4:$C$20,2,TRUE)</f>
        <v>85.4</v>
      </c>
      <c r="M60" s="45">
        <f t="shared" si="1"/>
        <v>34.159999999999997</v>
      </c>
      <c r="N60" s="36">
        <v>34.15</v>
      </c>
      <c r="O60" s="53"/>
    </row>
    <row r="61" spans="2:15" ht="26.4" x14ac:dyDescent="0.25">
      <c r="B61" s="57" t="s">
        <v>695</v>
      </c>
      <c r="C61" s="22" t="s">
        <v>205</v>
      </c>
      <c r="D61" s="73">
        <v>60</v>
      </c>
      <c r="E61" s="23">
        <v>2025</v>
      </c>
      <c r="F61" s="24" t="s">
        <v>206</v>
      </c>
      <c r="G61" s="23" t="s">
        <v>56</v>
      </c>
      <c r="H61" s="33" t="s">
        <v>9</v>
      </c>
      <c r="I61" s="23" t="s">
        <v>10</v>
      </c>
      <c r="J61" s="23" t="s">
        <v>207</v>
      </c>
      <c r="K61" s="21">
        <v>1175</v>
      </c>
      <c r="L61" s="83">
        <f>VLOOKUP(K61,'Tarifs 40%'!$B$4:$C$20,2,TRUE)</f>
        <v>48</v>
      </c>
      <c r="M61" s="45">
        <f t="shared" si="1"/>
        <v>19.2</v>
      </c>
      <c r="N61" s="36">
        <v>19.55</v>
      </c>
      <c r="O61" s="53"/>
    </row>
    <row r="62" spans="2:15" ht="26.4" x14ac:dyDescent="0.25">
      <c r="B62" s="57" t="s">
        <v>695</v>
      </c>
      <c r="C62" s="22" t="s">
        <v>208</v>
      </c>
      <c r="D62" s="73">
        <v>61</v>
      </c>
      <c r="E62" s="23">
        <v>2025</v>
      </c>
      <c r="F62" s="24" t="s">
        <v>209</v>
      </c>
      <c r="G62" s="23" t="s">
        <v>56</v>
      </c>
      <c r="H62" s="33" t="s">
        <v>210</v>
      </c>
      <c r="I62" s="23" t="s">
        <v>211</v>
      </c>
      <c r="J62" s="23" t="s">
        <v>212</v>
      </c>
      <c r="K62" s="21">
        <v>1193</v>
      </c>
      <c r="L62" s="83">
        <f>VLOOKUP(K62,'Tarifs 40%'!$B$4:$C$20,2,TRUE)</f>
        <v>48</v>
      </c>
      <c r="M62" s="45">
        <f t="shared" si="1"/>
        <v>19.2</v>
      </c>
      <c r="N62" s="36">
        <v>19.55</v>
      </c>
      <c r="O62" s="53"/>
    </row>
    <row r="63" spans="2:15" ht="26.4" x14ac:dyDescent="0.25">
      <c r="B63" s="57" t="s">
        <v>695</v>
      </c>
      <c r="C63" s="22" t="s">
        <v>213</v>
      </c>
      <c r="D63" s="73">
        <v>62</v>
      </c>
      <c r="E63" s="23">
        <v>2025</v>
      </c>
      <c r="F63" s="24" t="s">
        <v>214</v>
      </c>
      <c r="G63" s="23" t="s">
        <v>21</v>
      </c>
      <c r="H63" s="33" t="s">
        <v>9</v>
      </c>
      <c r="I63" s="23" t="s">
        <v>10</v>
      </c>
      <c r="J63" s="23" t="s">
        <v>215</v>
      </c>
      <c r="K63" s="21">
        <v>3468</v>
      </c>
      <c r="L63" s="85">
        <f>VLOOKUP(K63,'Tarifs 40%'!$B$4:$C$20,2,TRUE)</f>
        <v>93.3</v>
      </c>
      <c r="M63" s="45">
        <f t="shared" si="1"/>
        <v>37.32</v>
      </c>
      <c r="N63" s="61">
        <v>37.450000000000003</v>
      </c>
      <c r="O63" s="53"/>
    </row>
    <row r="64" spans="2:15" ht="26.4" x14ac:dyDescent="0.25">
      <c r="B64" s="57" t="s">
        <v>695</v>
      </c>
      <c r="C64" s="22" t="s">
        <v>216</v>
      </c>
      <c r="D64" s="73">
        <v>63</v>
      </c>
      <c r="E64" s="23">
        <v>2025</v>
      </c>
      <c r="F64" s="24" t="s">
        <v>217</v>
      </c>
      <c r="G64" s="23"/>
      <c r="H64" s="33" t="s">
        <v>28</v>
      </c>
      <c r="I64" s="23" t="s">
        <v>218</v>
      </c>
      <c r="J64" s="23" t="s">
        <v>219</v>
      </c>
      <c r="K64" s="21">
        <v>374</v>
      </c>
      <c r="L64" s="83">
        <f>VLOOKUP(K64,'Tarifs 40%'!$B$4:$C$20,2,TRUE)</f>
        <v>23.5</v>
      </c>
      <c r="M64" s="45">
        <f t="shared" si="1"/>
        <v>9.4</v>
      </c>
      <c r="N64" s="36">
        <v>9.4499999999999993</v>
      </c>
      <c r="O64" s="53"/>
    </row>
    <row r="65" spans="2:15" ht="26.4" x14ac:dyDescent="0.25">
      <c r="B65" s="57" t="s">
        <v>695</v>
      </c>
      <c r="C65" s="22" t="s">
        <v>220</v>
      </c>
      <c r="D65" s="73">
        <v>64</v>
      </c>
      <c r="E65" s="23">
        <v>2025</v>
      </c>
      <c r="F65" s="24" t="s">
        <v>221</v>
      </c>
      <c r="G65" s="23"/>
      <c r="H65" s="33" t="s">
        <v>42</v>
      </c>
      <c r="I65" s="23" t="s">
        <v>15</v>
      </c>
      <c r="J65" s="23" t="s">
        <v>222</v>
      </c>
      <c r="K65" s="21">
        <v>1270</v>
      </c>
      <c r="L65" s="83">
        <f>VLOOKUP(K65,'Tarifs 40%'!$B$4:$C$20,2,TRUE)</f>
        <v>54.4</v>
      </c>
      <c r="M65" s="45">
        <f t="shared" si="1"/>
        <v>21.76</v>
      </c>
      <c r="N65" s="36">
        <v>21.75</v>
      </c>
      <c r="O65" s="53"/>
    </row>
    <row r="66" spans="2:15" ht="26.4" x14ac:dyDescent="0.25">
      <c r="B66" s="57" t="s">
        <v>695</v>
      </c>
      <c r="C66" s="22" t="s">
        <v>223</v>
      </c>
      <c r="D66" s="73">
        <v>65</v>
      </c>
      <c r="E66" s="23">
        <v>2025</v>
      </c>
      <c r="F66" s="24" t="s">
        <v>224</v>
      </c>
      <c r="G66" s="23"/>
      <c r="H66" s="33" t="s">
        <v>225</v>
      </c>
      <c r="I66" s="23" t="s">
        <v>226</v>
      </c>
      <c r="J66" s="23" t="s">
        <v>227</v>
      </c>
      <c r="K66" s="21">
        <v>398</v>
      </c>
      <c r="L66" s="83">
        <f>VLOOKUP(K66,'Tarifs 40%'!$B$4:$C$20,2,TRUE)</f>
        <v>23.5</v>
      </c>
      <c r="M66" s="45">
        <f t="shared" ref="M66:M96" si="2">L66*40/100</f>
        <v>9.4</v>
      </c>
      <c r="N66" s="36">
        <v>9.4499999999999993</v>
      </c>
      <c r="O66" s="53"/>
    </row>
    <row r="67" spans="2:15" ht="26.4" x14ac:dyDescent="0.25">
      <c r="B67" s="57" t="s">
        <v>695</v>
      </c>
      <c r="C67" s="22" t="s">
        <v>228</v>
      </c>
      <c r="D67" s="73">
        <v>66</v>
      </c>
      <c r="E67" s="23">
        <v>2025</v>
      </c>
      <c r="F67" s="24" t="s">
        <v>229</v>
      </c>
      <c r="G67" s="23" t="s">
        <v>21</v>
      </c>
      <c r="H67" s="33" t="s">
        <v>14</v>
      </c>
      <c r="I67" s="23" t="s">
        <v>15</v>
      </c>
      <c r="J67" s="23" t="s">
        <v>230</v>
      </c>
      <c r="K67" s="21">
        <v>853</v>
      </c>
      <c r="L67" s="83">
        <f>VLOOKUP(K67,'Tarifs 40%'!$B$4:$C$20,2,TRUE)</f>
        <v>39.5</v>
      </c>
      <c r="M67" s="45">
        <f t="shared" si="2"/>
        <v>15.8</v>
      </c>
      <c r="N67" s="36">
        <v>15.85</v>
      </c>
      <c r="O67" s="53"/>
    </row>
    <row r="68" spans="2:15" ht="26.4" x14ac:dyDescent="0.25">
      <c r="B68" s="57" t="s">
        <v>699</v>
      </c>
      <c r="C68" s="22" t="s">
        <v>692</v>
      </c>
      <c r="D68" s="73">
        <v>67</v>
      </c>
      <c r="E68" s="23">
        <v>2025</v>
      </c>
      <c r="F68" s="22" t="s">
        <v>693</v>
      </c>
      <c r="G68" s="23"/>
      <c r="H68" s="33" t="s">
        <v>42</v>
      </c>
      <c r="I68" s="23" t="s">
        <v>15</v>
      </c>
      <c r="J68" s="23" t="s">
        <v>727</v>
      </c>
      <c r="K68" s="21">
        <v>1404</v>
      </c>
      <c r="L68" s="83">
        <f>VLOOKUP(K68,'Tarifs 40%'!$B$4:$C$20,2,TRUE)</f>
        <v>54.4</v>
      </c>
      <c r="M68" s="45">
        <f t="shared" si="2"/>
        <v>21.76</v>
      </c>
      <c r="N68" s="36">
        <v>21.75</v>
      </c>
      <c r="O68" s="53"/>
    </row>
    <row r="69" spans="2:15" ht="91.8" x14ac:dyDescent="0.25">
      <c r="B69" s="57"/>
      <c r="C69" s="22" t="s">
        <v>236</v>
      </c>
      <c r="D69" s="73">
        <v>68</v>
      </c>
      <c r="E69" s="23">
        <v>2025</v>
      </c>
      <c r="F69" s="23" t="s">
        <v>237</v>
      </c>
      <c r="G69" s="23" t="s">
        <v>31</v>
      </c>
      <c r="H69" s="33" t="s">
        <v>9</v>
      </c>
      <c r="I69" s="23" t="s">
        <v>10</v>
      </c>
      <c r="J69" s="69" t="s">
        <v>614</v>
      </c>
      <c r="K69" s="21">
        <v>12962</v>
      </c>
      <c r="L69" s="85">
        <f>VLOOKUP(K69,'Tarifs 40%'!$B$4:$C$20,2,TRUE)</f>
        <v>93.3</v>
      </c>
      <c r="M69" s="45">
        <f t="shared" si="2"/>
        <v>37.32</v>
      </c>
      <c r="N69" s="61">
        <v>42</v>
      </c>
      <c r="O69" s="53"/>
    </row>
    <row r="70" spans="2:15" ht="27.6" customHeight="1" x14ac:dyDescent="0.25">
      <c r="B70" s="57" t="s">
        <v>696</v>
      </c>
      <c r="C70" s="22" t="s">
        <v>702</v>
      </c>
      <c r="D70" s="73">
        <v>69</v>
      </c>
      <c r="E70" s="23">
        <v>2025</v>
      </c>
      <c r="F70" s="23" t="s">
        <v>635</v>
      </c>
      <c r="G70" s="23" t="s">
        <v>249</v>
      </c>
      <c r="H70" s="33" t="s">
        <v>9</v>
      </c>
      <c r="I70" s="23" t="s">
        <v>10</v>
      </c>
      <c r="J70" s="23" t="s">
        <v>661</v>
      </c>
      <c r="K70" s="21">
        <v>200</v>
      </c>
      <c r="L70" s="83">
        <f>VLOOKUP(K70,'Tarifs 40%'!$B$4:$C$20,2,TRUE)</f>
        <v>13.6</v>
      </c>
      <c r="M70" s="45">
        <f t="shared" si="2"/>
        <v>5.44</v>
      </c>
      <c r="N70" s="36">
        <v>5.45</v>
      </c>
      <c r="O70" s="53"/>
    </row>
    <row r="71" spans="2:15" ht="15" x14ac:dyDescent="0.25">
      <c r="B71" s="57" t="s">
        <v>695</v>
      </c>
      <c r="C71" s="22" t="s">
        <v>238</v>
      </c>
      <c r="D71" s="73">
        <v>70</v>
      </c>
      <c r="E71" s="23">
        <v>2025</v>
      </c>
      <c r="F71" s="24" t="s">
        <v>239</v>
      </c>
      <c r="G71" s="23" t="s">
        <v>56</v>
      </c>
      <c r="H71" s="33" t="s">
        <v>9</v>
      </c>
      <c r="I71" s="23" t="s">
        <v>10</v>
      </c>
      <c r="J71" s="23" t="s">
        <v>240</v>
      </c>
      <c r="K71" s="21">
        <v>1843</v>
      </c>
      <c r="L71" s="83">
        <f>VLOOKUP(K71,'Tarifs 40%'!$B$4:$C$20,2,TRUE)</f>
        <v>69.3</v>
      </c>
      <c r="M71" s="45">
        <f t="shared" si="2"/>
        <v>27.72</v>
      </c>
      <c r="N71" s="36">
        <v>27.75</v>
      </c>
      <c r="O71" s="53"/>
    </row>
    <row r="72" spans="2:15" ht="15" x14ac:dyDescent="0.25">
      <c r="B72" s="57" t="s">
        <v>695</v>
      </c>
      <c r="C72" s="22" t="s">
        <v>241</v>
      </c>
      <c r="D72" s="73">
        <v>71</v>
      </c>
      <c r="E72" s="23">
        <v>2025</v>
      </c>
      <c r="F72" s="24" t="s">
        <v>242</v>
      </c>
      <c r="G72" s="23" t="s">
        <v>21</v>
      </c>
      <c r="H72" s="33" t="s">
        <v>9</v>
      </c>
      <c r="I72" s="23" t="s">
        <v>10</v>
      </c>
      <c r="J72" s="23" t="s">
        <v>243</v>
      </c>
      <c r="K72" s="21">
        <v>974</v>
      </c>
      <c r="L72" s="83">
        <f>VLOOKUP(K72,'Tarifs 40%'!$B$4:$C$20,2,TRUE)</f>
        <v>39.5</v>
      </c>
      <c r="M72" s="45">
        <f t="shared" si="2"/>
        <v>15.8</v>
      </c>
      <c r="N72" s="36">
        <v>15.85</v>
      </c>
      <c r="O72" s="53"/>
    </row>
    <row r="73" spans="2:15" ht="15" x14ac:dyDescent="0.25">
      <c r="B73" s="57" t="s">
        <v>696</v>
      </c>
      <c r="C73" s="22" t="s">
        <v>703</v>
      </c>
      <c r="D73" s="73">
        <v>72</v>
      </c>
      <c r="E73" s="23">
        <v>2025</v>
      </c>
      <c r="F73" s="24" t="s">
        <v>245</v>
      </c>
      <c r="G73" s="23" t="s">
        <v>21</v>
      </c>
      <c r="H73" s="33" t="s">
        <v>9</v>
      </c>
      <c r="I73" s="23" t="s">
        <v>10</v>
      </c>
      <c r="J73" s="23" t="s">
        <v>246</v>
      </c>
      <c r="K73" s="21">
        <v>517</v>
      </c>
      <c r="L73" s="83">
        <f>VLOOKUP(K73,'Tarifs 40%'!$B$4:$C$20,2,TRUE)</f>
        <v>33.299999999999997</v>
      </c>
      <c r="M73" s="45">
        <f t="shared" si="2"/>
        <v>13.32</v>
      </c>
      <c r="N73" s="36">
        <v>13.35</v>
      </c>
      <c r="O73" s="53"/>
    </row>
    <row r="74" spans="2:15" ht="15" x14ac:dyDescent="0.25">
      <c r="B74" s="57" t="s">
        <v>696</v>
      </c>
      <c r="C74" s="22" t="s">
        <v>722</v>
      </c>
      <c r="D74" s="73">
        <v>73</v>
      </c>
      <c r="E74" s="23">
        <v>2025</v>
      </c>
      <c r="F74" s="24" t="s">
        <v>248</v>
      </c>
      <c r="G74" s="23" t="s">
        <v>249</v>
      </c>
      <c r="H74" s="33" t="s">
        <v>9</v>
      </c>
      <c r="I74" s="23" t="s">
        <v>10</v>
      </c>
      <c r="J74" s="23" t="s">
        <v>250</v>
      </c>
      <c r="K74" s="21">
        <v>1546</v>
      </c>
      <c r="L74" s="83">
        <f>VLOOKUP(K74,'Tarifs 40%'!$B$4:$C$20,2,TRUE)</f>
        <v>60.7</v>
      </c>
      <c r="M74" s="45">
        <f t="shared" si="2"/>
        <v>24.28</v>
      </c>
      <c r="N74" s="36">
        <v>24.35</v>
      </c>
      <c r="O74" s="53"/>
    </row>
    <row r="75" spans="2:15" ht="26.4" x14ac:dyDescent="0.25">
      <c r="B75" s="57" t="s">
        <v>695</v>
      </c>
      <c r="C75" s="22" t="s">
        <v>251</v>
      </c>
      <c r="D75" s="73">
        <v>74</v>
      </c>
      <c r="E75" s="23">
        <v>2025</v>
      </c>
      <c r="F75" s="24" t="s">
        <v>252</v>
      </c>
      <c r="G75" s="23" t="s">
        <v>21</v>
      </c>
      <c r="H75" s="33" t="s">
        <v>9</v>
      </c>
      <c r="I75" s="23" t="s">
        <v>10</v>
      </c>
      <c r="J75" s="23" t="s">
        <v>253</v>
      </c>
      <c r="K75" s="21">
        <v>1236</v>
      </c>
      <c r="L75" s="83">
        <f>VLOOKUP(K75,'Tarifs 40%'!$B$4:$C$20,2,TRUE)</f>
        <v>48</v>
      </c>
      <c r="M75" s="45">
        <f t="shared" si="2"/>
        <v>19.2</v>
      </c>
      <c r="N75" s="36">
        <v>19.55</v>
      </c>
      <c r="O75" s="53"/>
    </row>
    <row r="76" spans="2:15" ht="15" x14ac:dyDescent="0.25">
      <c r="B76" s="57" t="s">
        <v>695</v>
      </c>
      <c r="C76" s="22" t="s">
        <v>254</v>
      </c>
      <c r="D76" s="73">
        <v>75</v>
      </c>
      <c r="E76" s="23">
        <v>2025</v>
      </c>
      <c r="F76" s="24" t="s">
        <v>252</v>
      </c>
      <c r="G76" s="23" t="s">
        <v>21</v>
      </c>
      <c r="H76" s="33" t="s">
        <v>9</v>
      </c>
      <c r="I76" s="23" t="s">
        <v>10</v>
      </c>
      <c r="J76" s="23" t="s">
        <v>255</v>
      </c>
      <c r="K76" s="21">
        <v>805</v>
      </c>
      <c r="L76" s="83">
        <f>VLOOKUP(K76,'Tarifs 40%'!$B$4:$C$20,2,TRUE)</f>
        <v>39.5</v>
      </c>
      <c r="M76" s="45">
        <f t="shared" si="2"/>
        <v>15.8</v>
      </c>
      <c r="N76" s="36">
        <v>15.85</v>
      </c>
      <c r="O76" s="53"/>
    </row>
    <row r="77" spans="2:15" ht="26.4" x14ac:dyDescent="0.25">
      <c r="B77" s="57" t="s">
        <v>695</v>
      </c>
      <c r="C77" s="22" t="s">
        <v>256</v>
      </c>
      <c r="D77" s="73">
        <v>76</v>
      </c>
      <c r="E77" s="23">
        <v>2025</v>
      </c>
      <c r="F77" s="24" t="s">
        <v>257</v>
      </c>
      <c r="G77" s="23" t="s">
        <v>31</v>
      </c>
      <c r="H77" s="33" t="s">
        <v>9</v>
      </c>
      <c r="I77" s="23" t="s">
        <v>10</v>
      </c>
      <c r="J77" s="23" t="s">
        <v>258</v>
      </c>
      <c r="K77" s="21">
        <v>1156</v>
      </c>
      <c r="L77" s="83">
        <f>VLOOKUP(K77,'Tarifs 40%'!$B$4:$C$20,2,TRUE)</f>
        <v>48</v>
      </c>
      <c r="M77" s="45">
        <f t="shared" si="2"/>
        <v>19.2</v>
      </c>
      <c r="N77" s="36">
        <v>27.75</v>
      </c>
      <c r="O77" s="53"/>
    </row>
    <row r="78" spans="2:15" ht="40.799999999999997" x14ac:dyDescent="0.25">
      <c r="B78" s="57" t="s">
        <v>695</v>
      </c>
      <c r="C78" s="22" t="s">
        <v>259</v>
      </c>
      <c r="D78" s="73">
        <v>77</v>
      </c>
      <c r="E78" s="23">
        <v>2025</v>
      </c>
      <c r="F78" s="22" t="s">
        <v>260</v>
      </c>
      <c r="G78" s="23" t="s">
        <v>31</v>
      </c>
      <c r="H78" s="33" t="s">
        <v>9</v>
      </c>
      <c r="I78" s="23" t="s">
        <v>10</v>
      </c>
      <c r="J78" s="69" t="s">
        <v>616</v>
      </c>
      <c r="K78" s="21">
        <v>3429</v>
      </c>
      <c r="L78" s="85">
        <f>VLOOKUP(K78,'Tarifs 40%'!$B$4:$C$20,2,TRUE)</f>
        <v>93.3</v>
      </c>
      <c r="M78" s="45">
        <f t="shared" si="2"/>
        <v>37.32</v>
      </c>
      <c r="N78" s="61">
        <v>37.450000000000003</v>
      </c>
      <c r="O78" s="53"/>
    </row>
    <row r="79" spans="2:15" ht="39.6" x14ac:dyDescent="0.25">
      <c r="B79" s="57" t="s">
        <v>699</v>
      </c>
      <c r="C79" s="22" t="s">
        <v>261</v>
      </c>
      <c r="D79" s="73">
        <v>78</v>
      </c>
      <c r="E79" s="23">
        <v>2025</v>
      </c>
      <c r="F79" s="24" t="s">
        <v>262</v>
      </c>
      <c r="G79" s="23"/>
      <c r="H79" s="33" t="s">
        <v>42</v>
      </c>
      <c r="I79" s="23" t="s">
        <v>15</v>
      </c>
      <c r="J79" s="23" t="s">
        <v>263</v>
      </c>
      <c r="K79" s="21">
        <v>1389</v>
      </c>
      <c r="L79" s="83">
        <f>VLOOKUP(K79,'Tarifs 40%'!$B$4:$C$20,2,TRUE)</f>
        <v>54.4</v>
      </c>
      <c r="M79" s="45">
        <f t="shared" si="2"/>
        <v>21.76</v>
      </c>
      <c r="N79" s="36">
        <v>21.75</v>
      </c>
      <c r="O79" s="53"/>
    </row>
    <row r="80" spans="2:15" ht="15" x14ac:dyDescent="0.25">
      <c r="B80" s="57" t="s">
        <v>701</v>
      </c>
      <c r="C80" s="22" t="s">
        <v>264</v>
      </c>
      <c r="D80" s="73">
        <v>79</v>
      </c>
      <c r="E80" s="23">
        <v>2025</v>
      </c>
      <c r="F80" s="24" t="s">
        <v>265</v>
      </c>
      <c r="G80" s="23" t="s">
        <v>31</v>
      </c>
      <c r="H80" s="33" t="s">
        <v>9</v>
      </c>
      <c r="I80" s="23" t="s">
        <v>10</v>
      </c>
      <c r="J80" s="23" t="s">
        <v>266</v>
      </c>
      <c r="K80" s="21">
        <v>723</v>
      </c>
      <c r="L80" s="83">
        <f>VLOOKUP(K80,'Tarifs 40%'!$B$4:$C$20,2,TRUE)</f>
        <v>33.299999999999997</v>
      </c>
      <c r="M80" s="45">
        <f t="shared" si="2"/>
        <v>13.32</v>
      </c>
      <c r="N80" s="36">
        <v>13.35</v>
      </c>
      <c r="O80" s="53"/>
    </row>
    <row r="81" spans="2:15" ht="26.4" x14ac:dyDescent="0.25">
      <c r="B81" s="57" t="s">
        <v>695</v>
      </c>
      <c r="C81" s="22" t="s">
        <v>267</v>
      </c>
      <c r="D81" s="73">
        <v>80</v>
      </c>
      <c r="E81" s="23">
        <v>2025</v>
      </c>
      <c r="F81" s="24" t="s">
        <v>268</v>
      </c>
      <c r="G81" s="23"/>
      <c r="H81" s="33" t="s">
        <v>28</v>
      </c>
      <c r="I81" s="23" t="s">
        <v>15</v>
      </c>
      <c r="J81" s="23" t="s">
        <v>269</v>
      </c>
      <c r="K81" s="21">
        <v>3145</v>
      </c>
      <c r="L81" s="85">
        <f>VLOOKUP(K81,'Tarifs 40%'!$B$4:$C$20,2,TRUE)</f>
        <v>93.3</v>
      </c>
      <c r="M81" s="45">
        <f t="shared" si="2"/>
        <v>37.32</v>
      </c>
      <c r="N81" s="61">
        <v>37.450000000000003</v>
      </c>
      <c r="O81" s="53"/>
    </row>
    <row r="82" spans="2:15" ht="26.4" x14ac:dyDescent="0.25">
      <c r="B82" s="57" t="s">
        <v>701</v>
      </c>
      <c r="C82" s="22" t="s">
        <v>704</v>
      </c>
      <c r="D82" s="73">
        <v>81</v>
      </c>
      <c r="E82" s="23">
        <v>2025</v>
      </c>
      <c r="F82" s="24" t="s">
        <v>271</v>
      </c>
      <c r="G82" s="23"/>
      <c r="H82" s="33" t="s">
        <v>51</v>
      </c>
      <c r="I82" s="23" t="s">
        <v>52</v>
      </c>
      <c r="J82" s="23" t="s">
        <v>662</v>
      </c>
      <c r="K82" s="21">
        <v>4055</v>
      </c>
      <c r="L82" s="85">
        <f>VLOOKUP(K82,'Tarifs 40%'!$B$4:$C$20,2,TRUE)</f>
        <v>93.3</v>
      </c>
      <c r="M82" s="45">
        <f t="shared" si="2"/>
        <v>37.32</v>
      </c>
      <c r="N82" s="61">
        <v>37.450000000000003</v>
      </c>
      <c r="O82" s="53"/>
    </row>
    <row r="83" spans="2:15" ht="26.4" x14ac:dyDescent="0.25">
      <c r="B83" s="57" t="s">
        <v>699</v>
      </c>
      <c r="C83" s="22" t="s">
        <v>272</v>
      </c>
      <c r="D83" s="73">
        <v>82</v>
      </c>
      <c r="E83" s="23">
        <v>2025</v>
      </c>
      <c r="F83" s="24" t="s">
        <v>273</v>
      </c>
      <c r="G83" s="23"/>
      <c r="H83" s="33" t="s">
        <v>274</v>
      </c>
      <c r="I83" s="23" t="s">
        <v>15</v>
      </c>
      <c r="J83" s="23" t="s">
        <v>275</v>
      </c>
      <c r="K83" s="21">
        <v>324</v>
      </c>
      <c r="L83" s="83">
        <f>VLOOKUP(K83,'Tarifs 40%'!$B$4:$C$20,2,TRUE)</f>
        <v>23.5</v>
      </c>
      <c r="M83" s="45">
        <f t="shared" si="2"/>
        <v>9.4</v>
      </c>
      <c r="N83" s="36">
        <v>9.4499999999999993</v>
      </c>
      <c r="O83" s="53"/>
    </row>
    <row r="84" spans="2:15" ht="26.4" x14ac:dyDescent="0.25">
      <c r="B84" s="57" t="s">
        <v>701</v>
      </c>
      <c r="C84" s="22" t="s">
        <v>721</v>
      </c>
      <c r="D84" s="73">
        <v>83</v>
      </c>
      <c r="E84" s="23">
        <v>2025</v>
      </c>
      <c r="F84" s="24" t="s">
        <v>277</v>
      </c>
      <c r="G84" s="23" t="s">
        <v>278</v>
      </c>
      <c r="H84" s="33" t="s">
        <v>9</v>
      </c>
      <c r="I84" s="23" t="s">
        <v>279</v>
      </c>
      <c r="J84" s="23" t="s">
        <v>280</v>
      </c>
      <c r="K84" s="21">
        <v>2148</v>
      </c>
      <c r="L84" s="83">
        <f>VLOOKUP(K84,'Tarifs 40%'!$B$4:$C$20,2,TRUE)</f>
        <v>78</v>
      </c>
      <c r="M84" s="45">
        <f t="shared" si="2"/>
        <v>31.2</v>
      </c>
      <c r="N84" s="36">
        <v>31.25</v>
      </c>
      <c r="O84" s="53"/>
    </row>
    <row r="85" spans="2:15" ht="26.4" x14ac:dyDescent="0.25">
      <c r="B85" s="57" t="s">
        <v>701</v>
      </c>
      <c r="C85" s="22" t="s">
        <v>281</v>
      </c>
      <c r="D85" s="73">
        <v>84</v>
      </c>
      <c r="E85" s="23">
        <v>2025</v>
      </c>
      <c r="F85" s="24" t="s">
        <v>282</v>
      </c>
      <c r="G85" s="23" t="s">
        <v>177</v>
      </c>
      <c r="H85" s="33" t="s">
        <v>9</v>
      </c>
      <c r="I85" s="23" t="s">
        <v>10</v>
      </c>
      <c r="J85" s="23" t="s">
        <v>283</v>
      </c>
      <c r="K85" s="21">
        <v>1555</v>
      </c>
      <c r="L85" s="83">
        <f>VLOOKUP(K85,'Tarifs 40%'!$B$4:$C$20,2,TRUE)</f>
        <v>60.7</v>
      </c>
      <c r="M85" s="45">
        <f t="shared" si="2"/>
        <v>24.28</v>
      </c>
      <c r="N85" s="36">
        <v>24.35</v>
      </c>
      <c r="O85" s="53"/>
    </row>
    <row r="86" spans="2:15" ht="15" x14ac:dyDescent="0.25">
      <c r="B86" s="57" t="s">
        <v>695</v>
      </c>
      <c r="C86" s="22" t="s">
        <v>284</v>
      </c>
      <c r="D86" s="73">
        <v>85</v>
      </c>
      <c r="E86" s="23">
        <v>2025</v>
      </c>
      <c r="F86" s="24" t="s">
        <v>285</v>
      </c>
      <c r="G86" s="23" t="s">
        <v>31</v>
      </c>
      <c r="H86" s="33" t="s">
        <v>9</v>
      </c>
      <c r="I86" s="23" t="s">
        <v>10</v>
      </c>
      <c r="J86" s="23" t="s">
        <v>286</v>
      </c>
      <c r="K86" s="21">
        <v>833</v>
      </c>
      <c r="L86" s="83">
        <f>VLOOKUP(K86,'Tarifs 40%'!$B$4:$C$20,2,TRUE)</f>
        <v>39.5</v>
      </c>
      <c r="M86" s="45">
        <f t="shared" si="2"/>
        <v>15.8</v>
      </c>
      <c r="N86" s="36">
        <v>15.85</v>
      </c>
      <c r="O86" s="53"/>
    </row>
    <row r="87" spans="2:15" ht="26.4" x14ac:dyDescent="0.25">
      <c r="B87" s="57" t="s">
        <v>695</v>
      </c>
      <c r="C87" s="22" t="s">
        <v>287</v>
      </c>
      <c r="D87" s="73">
        <v>86</v>
      </c>
      <c r="E87" s="23">
        <v>2025</v>
      </c>
      <c r="F87" s="24" t="s">
        <v>288</v>
      </c>
      <c r="G87" s="23" t="s">
        <v>170</v>
      </c>
      <c r="H87" s="33" t="s">
        <v>9</v>
      </c>
      <c r="I87" s="23" t="s">
        <v>289</v>
      </c>
      <c r="J87" s="23" t="s">
        <v>290</v>
      </c>
      <c r="K87" s="21">
        <v>1711</v>
      </c>
      <c r="L87" s="83">
        <f>VLOOKUP(K87,'Tarifs 40%'!$B$4:$C$20,2,TRUE)</f>
        <v>60.7</v>
      </c>
      <c r="M87" s="45">
        <f t="shared" si="2"/>
        <v>24.28</v>
      </c>
      <c r="N87" s="36">
        <v>24.35</v>
      </c>
      <c r="O87" s="53"/>
    </row>
    <row r="88" spans="2:15" ht="15" x14ac:dyDescent="0.25">
      <c r="B88" s="57" t="s">
        <v>695</v>
      </c>
      <c r="C88" s="22" t="s">
        <v>730</v>
      </c>
      <c r="D88" s="73">
        <v>87</v>
      </c>
      <c r="E88" s="23">
        <v>2025</v>
      </c>
      <c r="F88" s="24" t="s">
        <v>731</v>
      </c>
      <c r="G88" s="23"/>
      <c r="H88" s="33" t="s">
        <v>28</v>
      </c>
      <c r="I88" s="23" t="s">
        <v>15</v>
      </c>
      <c r="J88" s="23" t="s">
        <v>291</v>
      </c>
      <c r="K88" s="21">
        <v>638</v>
      </c>
      <c r="L88" s="83">
        <f>VLOOKUP(K88,'Tarifs 40%'!$B$4:$C$20,2,TRUE)</f>
        <v>33.299999999999997</v>
      </c>
      <c r="M88" s="45">
        <f t="shared" si="2"/>
        <v>13.32</v>
      </c>
      <c r="N88" s="36">
        <v>13.35</v>
      </c>
      <c r="O88" s="53">
        <v>46064</v>
      </c>
    </row>
    <row r="89" spans="2:15" ht="26.4" x14ac:dyDescent="0.25">
      <c r="B89" s="57" t="s">
        <v>699</v>
      </c>
      <c r="C89" s="22" t="s">
        <v>292</v>
      </c>
      <c r="D89" s="73">
        <v>88</v>
      </c>
      <c r="E89" s="23">
        <v>2025</v>
      </c>
      <c r="F89" s="24" t="s">
        <v>293</v>
      </c>
      <c r="G89" s="23"/>
      <c r="H89" s="33" t="s">
        <v>9</v>
      </c>
      <c r="I89" s="23" t="s">
        <v>10</v>
      </c>
      <c r="J89" s="23" t="s">
        <v>294</v>
      </c>
      <c r="K89" s="21">
        <v>758</v>
      </c>
      <c r="L89" s="83">
        <f>VLOOKUP(K89,'Tarifs 40%'!$B$4:$C$20,2,TRUE)</f>
        <v>39.5</v>
      </c>
      <c r="M89" s="45">
        <f t="shared" si="2"/>
        <v>15.8</v>
      </c>
      <c r="N89" s="36">
        <v>15.85</v>
      </c>
      <c r="O89" s="53"/>
    </row>
    <row r="90" spans="2:15" ht="26.4" x14ac:dyDescent="0.25">
      <c r="B90" s="57" t="s">
        <v>695</v>
      </c>
      <c r="C90" s="22" t="s">
        <v>295</v>
      </c>
      <c r="D90" s="73">
        <v>89</v>
      </c>
      <c r="E90" s="23">
        <v>2025</v>
      </c>
      <c r="F90" s="24" t="s">
        <v>296</v>
      </c>
      <c r="G90" s="23" t="s">
        <v>21</v>
      </c>
      <c r="H90" s="33" t="s">
        <v>9</v>
      </c>
      <c r="I90" s="23" t="s">
        <v>10</v>
      </c>
      <c r="J90" s="23" t="s">
        <v>297</v>
      </c>
      <c r="K90" s="21">
        <v>943</v>
      </c>
      <c r="L90" s="83">
        <f>VLOOKUP(K90,'Tarifs 40%'!$B$4:$C$20,2,TRUE)</f>
        <v>39.5</v>
      </c>
      <c r="M90" s="45">
        <f t="shared" si="2"/>
        <v>15.8</v>
      </c>
      <c r="N90" s="36">
        <v>15.85</v>
      </c>
      <c r="O90" s="53"/>
    </row>
    <row r="91" spans="2:15" ht="15" x14ac:dyDescent="0.25">
      <c r="B91" s="57" t="s">
        <v>695</v>
      </c>
      <c r="C91" s="22" t="s">
        <v>298</v>
      </c>
      <c r="D91" s="73">
        <v>90</v>
      </c>
      <c r="E91" s="23">
        <v>2025</v>
      </c>
      <c r="F91" s="24" t="s">
        <v>299</v>
      </c>
      <c r="G91" s="23" t="s">
        <v>300</v>
      </c>
      <c r="H91" s="33" t="s">
        <v>9</v>
      </c>
      <c r="I91" s="23" t="s">
        <v>10</v>
      </c>
      <c r="J91" s="23" t="s">
        <v>301</v>
      </c>
      <c r="K91" s="21">
        <v>460</v>
      </c>
      <c r="L91" s="83">
        <f>VLOOKUP(K91,'Tarifs 40%'!$B$4:$C$20,2,TRUE)</f>
        <v>23.5</v>
      </c>
      <c r="M91" s="45">
        <f t="shared" si="2"/>
        <v>9.4</v>
      </c>
      <c r="N91" s="36">
        <v>9.4499999999999993</v>
      </c>
      <c r="O91" s="53"/>
    </row>
    <row r="92" spans="2:15" ht="26.4" x14ac:dyDescent="0.25">
      <c r="B92" s="57" t="s">
        <v>701</v>
      </c>
      <c r="C92" s="22" t="s">
        <v>720</v>
      </c>
      <c r="D92" s="73">
        <v>91</v>
      </c>
      <c r="E92" s="23">
        <v>2025</v>
      </c>
      <c r="F92" s="24" t="s">
        <v>303</v>
      </c>
      <c r="G92" s="23" t="s">
        <v>13</v>
      </c>
      <c r="H92" s="33" t="s">
        <v>9</v>
      </c>
      <c r="I92" s="23" t="s">
        <v>10</v>
      </c>
      <c r="J92" s="23" t="s">
        <v>304</v>
      </c>
      <c r="K92" s="21">
        <v>145</v>
      </c>
      <c r="L92" s="83">
        <f>VLOOKUP(K92,'Tarifs 40%'!$B$4:$C$20,2,TRUE)</f>
        <v>13.6</v>
      </c>
      <c r="M92" s="45">
        <f t="shared" si="2"/>
        <v>5.44</v>
      </c>
      <c r="N92" s="36">
        <v>5.45</v>
      </c>
      <c r="O92" s="53"/>
    </row>
    <row r="93" spans="2:15" ht="15" x14ac:dyDescent="0.25">
      <c r="B93" s="57" t="s">
        <v>695</v>
      </c>
      <c r="C93" s="22" t="s">
        <v>686</v>
      </c>
      <c r="D93" s="73">
        <v>92</v>
      </c>
      <c r="E93" s="23">
        <v>2025</v>
      </c>
      <c r="F93" s="24" t="s">
        <v>635</v>
      </c>
      <c r="G93" s="23" t="s">
        <v>249</v>
      </c>
      <c r="H93" s="33" t="s">
        <v>9</v>
      </c>
      <c r="I93" s="23" t="s">
        <v>10</v>
      </c>
      <c r="J93" s="23" t="s">
        <v>638</v>
      </c>
      <c r="K93" s="21">
        <v>200</v>
      </c>
      <c r="L93" s="83">
        <f>VLOOKUP(K93,'Tarifs 40%'!$B$4:$C$20,2,TRUE)</f>
        <v>13.6</v>
      </c>
      <c r="M93" s="45">
        <f t="shared" si="2"/>
        <v>5.44</v>
      </c>
      <c r="N93" s="36">
        <v>5.45</v>
      </c>
      <c r="O93" s="53">
        <v>45402</v>
      </c>
    </row>
    <row r="94" spans="2:15" ht="15" x14ac:dyDescent="0.25">
      <c r="B94" s="57" t="s">
        <v>695</v>
      </c>
      <c r="C94" s="22" t="s">
        <v>305</v>
      </c>
      <c r="D94" s="73">
        <v>93</v>
      </c>
      <c r="E94" s="23">
        <v>2025</v>
      </c>
      <c r="F94" s="24" t="s">
        <v>306</v>
      </c>
      <c r="G94" s="23" t="s">
        <v>31</v>
      </c>
      <c r="H94" s="33" t="s">
        <v>9</v>
      </c>
      <c r="I94" s="23" t="s">
        <v>10</v>
      </c>
      <c r="J94" s="23" t="s">
        <v>307</v>
      </c>
      <c r="K94" s="21">
        <v>283</v>
      </c>
      <c r="L94" s="83">
        <f>VLOOKUP(K94,'Tarifs 40%'!$B$4:$C$20,2,TRUE)</f>
        <v>23.5</v>
      </c>
      <c r="M94" s="45">
        <f t="shared" si="2"/>
        <v>9.4</v>
      </c>
      <c r="N94" s="36">
        <v>9.4499999999999993</v>
      </c>
      <c r="O94" s="53"/>
    </row>
    <row r="95" spans="2:15" ht="15" x14ac:dyDescent="0.25">
      <c r="B95" s="57" t="s">
        <v>695</v>
      </c>
      <c r="C95" s="22" t="s">
        <v>636</v>
      </c>
      <c r="D95" s="73">
        <v>94</v>
      </c>
      <c r="E95" s="23">
        <v>2025</v>
      </c>
      <c r="F95" s="24" t="s">
        <v>637</v>
      </c>
      <c r="G95" s="23"/>
      <c r="H95" s="33" t="s">
        <v>28</v>
      </c>
      <c r="I95" s="23" t="s">
        <v>15</v>
      </c>
      <c r="J95" s="23" t="s">
        <v>443</v>
      </c>
      <c r="K95" s="21">
        <v>4255</v>
      </c>
      <c r="L95" s="85">
        <f>VLOOKUP(K95,'Tarifs 40%'!$B$4:$C$20,2,TRUE)</f>
        <v>93.3</v>
      </c>
      <c r="M95" s="45">
        <f t="shared" si="2"/>
        <v>37.32</v>
      </c>
      <c r="N95" s="61">
        <v>13.35</v>
      </c>
      <c r="O95" s="53">
        <v>45402</v>
      </c>
    </row>
    <row r="96" spans="2:15" ht="26.4" x14ac:dyDescent="0.25">
      <c r="B96" s="57" t="s">
        <v>695</v>
      </c>
      <c r="C96" s="22" t="s">
        <v>308</v>
      </c>
      <c r="D96" s="73">
        <v>95</v>
      </c>
      <c r="E96" s="23">
        <v>2025</v>
      </c>
      <c r="F96" s="24" t="s">
        <v>309</v>
      </c>
      <c r="G96" s="23" t="s">
        <v>310</v>
      </c>
      <c r="H96" s="33" t="s">
        <v>32</v>
      </c>
      <c r="I96" s="23" t="s">
        <v>311</v>
      </c>
      <c r="J96" s="23" t="s">
        <v>312</v>
      </c>
      <c r="K96" s="21">
        <v>665</v>
      </c>
      <c r="L96" s="83">
        <f>VLOOKUP(K96,'Tarifs 40%'!$B$4:$C$20,2,TRUE)</f>
        <v>33.299999999999997</v>
      </c>
      <c r="M96" s="45">
        <f t="shared" si="2"/>
        <v>13.32</v>
      </c>
      <c r="N96" s="36">
        <v>21.75</v>
      </c>
      <c r="O96" s="53"/>
    </row>
    <row r="97" spans="2:15" ht="26.4" x14ac:dyDescent="0.25">
      <c r="B97" s="57" t="s">
        <v>695</v>
      </c>
      <c r="C97" s="22" t="s">
        <v>313</v>
      </c>
      <c r="D97" s="73">
        <v>96</v>
      </c>
      <c r="E97" s="23">
        <v>2025</v>
      </c>
      <c r="F97" s="24" t="s">
        <v>314</v>
      </c>
      <c r="G97" s="23" t="s">
        <v>56</v>
      </c>
      <c r="H97" s="33" t="s">
        <v>315</v>
      </c>
      <c r="I97" s="23" t="s">
        <v>316</v>
      </c>
      <c r="J97" s="23" t="s">
        <v>317</v>
      </c>
      <c r="K97" s="21">
        <v>1285</v>
      </c>
      <c r="L97" s="83">
        <f>VLOOKUP(K97,'Tarifs 40%'!$B$4:$C$20,2,TRUE)</f>
        <v>54.4</v>
      </c>
      <c r="M97" s="45">
        <f t="shared" ref="M97:M127" si="3">L97*40/100</f>
        <v>21.76</v>
      </c>
      <c r="N97" s="36">
        <v>21.75</v>
      </c>
      <c r="O97" s="53"/>
    </row>
    <row r="98" spans="2:15" ht="15" x14ac:dyDescent="0.25">
      <c r="B98" s="57" t="s">
        <v>695</v>
      </c>
      <c r="C98" s="22" t="s">
        <v>318</v>
      </c>
      <c r="D98" s="73">
        <v>97</v>
      </c>
      <c r="E98" s="23">
        <v>2025</v>
      </c>
      <c r="F98" s="24" t="s">
        <v>319</v>
      </c>
      <c r="G98" s="23" t="s">
        <v>31</v>
      </c>
      <c r="H98" s="33" t="s">
        <v>9</v>
      </c>
      <c r="I98" s="23" t="s">
        <v>10</v>
      </c>
      <c r="J98" s="23" t="s">
        <v>320</v>
      </c>
      <c r="K98" s="21">
        <v>1470</v>
      </c>
      <c r="L98" s="83">
        <f>VLOOKUP(K98,'Tarifs 40%'!$B$4:$C$20,2,TRUE)</f>
        <v>54.4</v>
      </c>
      <c r="M98" s="45">
        <f t="shared" si="3"/>
        <v>21.76</v>
      </c>
      <c r="N98" s="36">
        <v>21.75</v>
      </c>
      <c r="O98" s="53"/>
    </row>
    <row r="99" spans="2:15" ht="26.4" x14ac:dyDescent="0.25">
      <c r="B99" s="57" t="s">
        <v>701</v>
      </c>
      <c r="C99" s="22" t="s">
        <v>719</v>
      </c>
      <c r="D99" s="73">
        <v>98</v>
      </c>
      <c r="E99" s="23">
        <v>2025</v>
      </c>
      <c r="F99" s="24" t="s">
        <v>322</v>
      </c>
      <c r="G99" s="23"/>
      <c r="H99" s="33" t="s">
        <v>9</v>
      </c>
      <c r="I99" s="23" t="s">
        <v>10</v>
      </c>
      <c r="J99" s="23" t="s">
        <v>323</v>
      </c>
      <c r="K99" s="21">
        <v>1500</v>
      </c>
      <c r="L99" s="83">
        <f>VLOOKUP(K99,'Tarifs 40%'!$B$4:$C$20,2,TRUE)</f>
        <v>54.4</v>
      </c>
      <c r="M99" s="45">
        <f t="shared" si="3"/>
        <v>21.76</v>
      </c>
      <c r="N99" s="36">
        <v>34.15</v>
      </c>
      <c r="O99" s="53"/>
    </row>
    <row r="100" spans="2:15" ht="26.4" x14ac:dyDescent="0.25">
      <c r="B100" s="57" t="s">
        <v>695</v>
      </c>
      <c r="C100" s="22" t="s">
        <v>324</v>
      </c>
      <c r="D100" s="73">
        <v>99</v>
      </c>
      <c r="E100" s="23">
        <v>2025</v>
      </c>
      <c r="F100" s="24" t="s">
        <v>325</v>
      </c>
      <c r="G100" s="23"/>
      <c r="H100" s="33" t="s">
        <v>210</v>
      </c>
      <c r="I100" s="23" t="s">
        <v>211</v>
      </c>
      <c r="J100" s="23" t="s">
        <v>663</v>
      </c>
      <c r="K100" s="21">
        <v>2989</v>
      </c>
      <c r="L100" s="83">
        <f>VLOOKUP(K100,'Tarifs 40%'!$B$4:$C$20,2,TRUE)</f>
        <v>85.4</v>
      </c>
      <c r="M100" s="45">
        <f t="shared" si="3"/>
        <v>34.159999999999997</v>
      </c>
      <c r="N100" s="36">
        <v>34.15</v>
      </c>
      <c r="O100" s="53"/>
    </row>
    <row r="101" spans="2:15" ht="28.2" customHeight="1" x14ac:dyDescent="0.25">
      <c r="B101" s="57" t="s">
        <v>699</v>
      </c>
      <c r="C101" s="22" t="s">
        <v>664</v>
      </c>
      <c r="D101" s="73">
        <v>100</v>
      </c>
      <c r="E101" s="23">
        <v>2025</v>
      </c>
      <c r="F101" s="24" t="s">
        <v>519</v>
      </c>
      <c r="G101" s="23"/>
      <c r="H101" s="33" t="s">
        <v>9</v>
      </c>
      <c r="I101" s="23" t="s">
        <v>10</v>
      </c>
      <c r="J101" s="23" t="s">
        <v>665</v>
      </c>
      <c r="K101" s="21">
        <v>1644</v>
      </c>
      <c r="L101" s="83">
        <f>VLOOKUP(K101,'Tarifs 40%'!$B$4:$C$20,2,TRUE)</f>
        <v>60.7</v>
      </c>
      <c r="M101" s="45">
        <f t="shared" si="3"/>
        <v>24.28</v>
      </c>
      <c r="N101" s="36">
        <v>24.3</v>
      </c>
      <c r="O101" s="53">
        <v>45561</v>
      </c>
    </row>
    <row r="102" spans="2:15" ht="26.4" x14ac:dyDescent="0.25">
      <c r="B102" s="57" t="s">
        <v>699</v>
      </c>
      <c r="C102" s="22" t="s">
        <v>723</v>
      </c>
      <c r="D102" s="73">
        <v>101</v>
      </c>
      <c r="E102" s="23">
        <v>2025</v>
      </c>
      <c r="F102" s="24" t="s">
        <v>327</v>
      </c>
      <c r="G102" s="23" t="s">
        <v>56</v>
      </c>
      <c r="H102" s="33" t="s">
        <v>9</v>
      </c>
      <c r="I102" s="23" t="s">
        <v>10</v>
      </c>
      <c r="J102" s="23" t="s">
        <v>328</v>
      </c>
      <c r="K102" s="21">
        <v>390</v>
      </c>
      <c r="L102" s="83">
        <f>VLOOKUP(K102,'Tarifs 40%'!$B$4:$C$20,2,TRUE)</f>
        <v>23.5</v>
      </c>
      <c r="M102" s="45">
        <f t="shared" si="3"/>
        <v>9.4</v>
      </c>
      <c r="N102" s="36">
        <v>9.4499999999999993</v>
      </c>
      <c r="O102" s="53"/>
    </row>
    <row r="103" spans="2:15" ht="26.4" x14ac:dyDescent="0.25">
      <c r="B103" s="57" t="s">
        <v>695</v>
      </c>
      <c r="C103" s="22" t="s">
        <v>329</v>
      </c>
      <c r="D103" s="73">
        <v>102</v>
      </c>
      <c r="E103" s="23">
        <v>2025</v>
      </c>
      <c r="F103" s="24" t="s">
        <v>330</v>
      </c>
      <c r="G103" s="23"/>
      <c r="H103" s="33" t="s">
        <v>47</v>
      </c>
      <c r="I103" s="23" t="s">
        <v>232</v>
      </c>
      <c r="J103" s="23" t="s">
        <v>331</v>
      </c>
      <c r="K103" s="21">
        <v>589</v>
      </c>
      <c r="L103" s="83">
        <f>VLOOKUP(K103,'Tarifs 40%'!$B$4:$C$20,2,TRUE)</f>
        <v>33.299999999999997</v>
      </c>
      <c r="M103" s="45">
        <f t="shared" si="3"/>
        <v>13.32</v>
      </c>
      <c r="N103" s="36">
        <v>13.35</v>
      </c>
      <c r="O103" s="53"/>
    </row>
    <row r="104" spans="2:15" ht="26.4" x14ac:dyDescent="0.25">
      <c r="B104" s="57" t="s">
        <v>695</v>
      </c>
      <c r="C104" s="22" t="s">
        <v>332</v>
      </c>
      <c r="D104" s="73">
        <v>103</v>
      </c>
      <c r="E104" s="23">
        <v>2025</v>
      </c>
      <c r="F104" s="24" t="s">
        <v>333</v>
      </c>
      <c r="G104" s="23"/>
      <c r="H104" s="33" t="s">
        <v>47</v>
      </c>
      <c r="I104" s="23" t="s">
        <v>232</v>
      </c>
      <c r="J104" s="23" t="s">
        <v>334</v>
      </c>
      <c r="K104" s="21">
        <v>665</v>
      </c>
      <c r="L104" s="83">
        <f>VLOOKUP(K104,'Tarifs 40%'!$B$4:$C$20,2,TRUE)</f>
        <v>33.299999999999997</v>
      </c>
      <c r="M104" s="45">
        <f t="shared" si="3"/>
        <v>13.32</v>
      </c>
      <c r="N104" s="36">
        <v>13.35</v>
      </c>
      <c r="O104" s="53"/>
    </row>
    <row r="105" spans="2:15" ht="26.4" x14ac:dyDescent="0.25">
      <c r="B105" s="57" t="s">
        <v>726</v>
      </c>
      <c r="C105" s="22" t="s">
        <v>335</v>
      </c>
      <c r="D105" s="73">
        <v>104</v>
      </c>
      <c r="E105" s="23">
        <v>2025</v>
      </c>
      <c r="F105" s="24" t="s">
        <v>336</v>
      </c>
      <c r="G105" s="23"/>
      <c r="H105" s="33" t="s">
        <v>28</v>
      </c>
      <c r="I105" s="23" t="s">
        <v>15</v>
      </c>
      <c r="J105" s="23" t="s">
        <v>337</v>
      </c>
      <c r="K105" s="21">
        <v>450</v>
      </c>
      <c r="L105" s="83">
        <f>VLOOKUP(K105,'Tarifs 40%'!$B$4:$C$20,2,TRUE)</f>
        <v>23.5</v>
      </c>
      <c r="M105" s="45">
        <f t="shared" si="3"/>
        <v>9.4</v>
      </c>
      <c r="N105" s="36">
        <v>9.4499999999999993</v>
      </c>
      <c r="O105" s="53"/>
    </row>
    <row r="106" spans="2:15" ht="26.4" x14ac:dyDescent="0.25">
      <c r="B106" s="57" t="s">
        <v>695</v>
      </c>
      <c r="C106" s="22" t="s">
        <v>338</v>
      </c>
      <c r="D106" s="73">
        <v>105</v>
      </c>
      <c r="E106" s="23">
        <v>2025</v>
      </c>
      <c r="F106" s="24" t="s">
        <v>339</v>
      </c>
      <c r="G106" s="23"/>
      <c r="H106" s="33" t="s">
        <v>340</v>
      </c>
      <c r="I106" s="23" t="s">
        <v>341</v>
      </c>
      <c r="J106" s="23" t="s">
        <v>342</v>
      </c>
      <c r="K106" s="21">
        <v>1739</v>
      </c>
      <c r="L106" s="83">
        <f>VLOOKUP(K106,'Tarifs 40%'!$B$4:$C$20,2,TRUE)</f>
        <v>60.7</v>
      </c>
      <c r="M106" s="45">
        <f t="shared" si="3"/>
        <v>24.28</v>
      </c>
      <c r="N106" s="36">
        <v>24.25</v>
      </c>
      <c r="O106" s="53"/>
    </row>
    <row r="107" spans="2:15" ht="15" x14ac:dyDescent="0.25">
      <c r="B107" s="57" t="s">
        <v>695</v>
      </c>
      <c r="C107" s="22" t="s">
        <v>343</v>
      </c>
      <c r="D107" s="73">
        <v>106</v>
      </c>
      <c r="E107" s="23">
        <v>2025</v>
      </c>
      <c r="F107" s="24" t="s">
        <v>344</v>
      </c>
      <c r="G107" s="23" t="s">
        <v>31</v>
      </c>
      <c r="H107" s="33" t="s">
        <v>9</v>
      </c>
      <c r="I107" s="23" t="s">
        <v>10</v>
      </c>
      <c r="J107" s="23" t="s">
        <v>345</v>
      </c>
      <c r="K107" s="21">
        <v>148</v>
      </c>
      <c r="L107" s="83">
        <f>VLOOKUP(K107,'Tarifs 40%'!$B$4:$C$20,2,TRUE)</f>
        <v>13.6</v>
      </c>
      <c r="M107" s="45">
        <f t="shared" si="3"/>
        <v>5.44</v>
      </c>
      <c r="N107" s="36">
        <v>5.45</v>
      </c>
      <c r="O107" s="53"/>
    </row>
    <row r="108" spans="2:15" ht="26.4" x14ac:dyDescent="0.25">
      <c r="B108" s="57" t="s">
        <v>695</v>
      </c>
      <c r="C108" s="22" t="s">
        <v>346</v>
      </c>
      <c r="D108" s="73">
        <v>107</v>
      </c>
      <c r="E108" s="23">
        <v>2025</v>
      </c>
      <c r="F108" s="24" t="s">
        <v>347</v>
      </c>
      <c r="G108" s="23" t="s">
        <v>13</v>
      </c>
      <c r="H108" s="33" t="s">
        <v>9</v>
      </c>
      <c r="I108" s="23" t="s">
        <v>10</v>
      </c>
      <c r="J108" s="23" t="s">
        <v>348</v>
      </c>
      <c r="K108" s="21">
        <v>1904</v>
      </c>
      <c r="L108" s="83">
        <f>VLOOKUP(K108,'Tarifs 40%'!$B$4:$C$20,2,TRUE)</f>
        <v>69.3</v>
      </c>
      <c r="M108" s="45">
        <f t="shared" si="3"/>
        <v>27.72</v>
      </c>
      <c r="N108" s="36">
        <v>27.75</v>
      </c>
      <c r="O108" s="53"/>
    </row>
    <row r="109" spans="2:15" ht="15" x14ac:dyDescent="0.25">
      <c r="B109" s="57" t="s">
        <v>695</v>
      </c>
      <c r="C109" s="22" t="s">
        <v>349</v>
      </c>
      <c r="D109" s="73">
        <v>108</v>
      </c>
      <c r="E109" s="23">
        <v>2025</v>
      </c>
      <c r="F109" s="24" t="s">
        <v>350</v>
      </c>
      <c r="G109" s="23"/>
      <c r="H109" s="33" t="s">
        <v>9</v>
      </c>
      <c r="I109" s="23" t="s">
        <v>10</v>
      </c>
      <c r="J109" s="23" t="s">
        <v>622</v>
      </c>
      <c r="K109" s="21">
        <v>845</v>
      </c>
      <c r="L109" s="83">
        <f>VLOOKUP(K109,'Tarifs 40%'!$B$4:$C$20,2,TRUE)</f>
        <v>39.5</v>
      </c>
      <c r="M109" s="45">
        <f t="shared" si="3"/>
        <v>15.8</v>
      </c>
      <c r="N109" s="36">
        <v>13.35</v>
      </c>
      <c r="O109" s="53"/>
    </row>
    <row r="110" spans="2:15" ht="40.799999999999997" x14ac:dyDescent="0.25">
      <c r="B110" s="57" t="s">
        <v>695</v>
      </c>
      <c r="C110" s="22" t="s">
        <v>351</v>
      </c>
      <c r="D110" s="73">
        <v>109</v>
      </c>
      <c r="E110" s="23">
        <v>2025</v>
      </c>
      <c r="F110" s="24" t="s">
        <v>621</v>
      </c>
      <c r="G110" s="23"/>
      <c r="H110" s="33" t="s">
        <v>9</v>
      </c>
      <c r="I110" s="23" t="s">
        <v>10</v>
      </c>
      <c r="J110" s="69" t="s">
        <v>666</v>
      </c>
      <c r="K110" s="21">
        <v>6289</v>
      </c>
      <c r="L110" s="85">
        <f>VLOOKUP(K110,'Tarifs 40%'!$B$4:$C$20,2,TRUE)</f>
        <v>93.3</v>
      </c>
      <c r="M110" s="45">
        <f t="shared" si="3"/>
        <v>37.32</v>
      </c>
      <c r="N110" s="61">
        <v>37.450000000000003</v>
      </c>
      <c r="O110" s="53"/>
    </row>
    <row r="111" spans="2:15" ht="15" x14ac:dyDescent="0.25">
      <c r="B111" s="57" t="s">
        <v>695</v>
      </c>
      <c r="C111" s="22" t="s">
        <v>352</v>
      </c>
      <c r="D111" s="73">
        <v>110</v>
      </c>
      <c r="E111" s="23">
        <v>2025</v>
      </c>
      <c r="F111" s="24" t="s">
        <v>353</v>
      </c>
      <c r="G111" s="23"/>
      <c r="H111" s="33" t="s">
        <v>9</v>
      </c>
      <c r="I111" s="23" t="s">
        <v>10</v>
      </c>
      <c r="J111" s="23" t="s">
        <v>354</v>
      </c>
      <c r="K111" s="21">
        <v>858</v>
      </c>
      <c r="L111" s="83">
        <f>VLOOKUP(K111,'Tarifs 40%'!$B$4:$C$20,2,TRUE)</f>
        <v>39.5</v>
      </c>
      <c r="M111" s="45">
        <f t="shared" si="3"/>
        <v>15.8</v>
      </c>
      <c r="N111" s="36">
        <v>15.85</v>
      </c>
      <c r="O111" s="53"/>
    </row>
    <row r="112" spans="2:15" ht="15" x14ac:dyDescent="0.25">
      <c r="B112" s="57" t="s">
        <v>695</v>
      </c>
      <c r="C112" s="22" t="s">
        <v>355</v>
      </c>
      <c r="D112" s="73">
        <v>111</v>
      </c>
      <c r="E112" s="23">
        <v>2025</v>
      </c>
      <c r="F112" s="24" t="s">
        <v>356</v>
      </c>
      <c r="G112" s="23" t="s">
        <v>56</v>
      </c>
      <c r="H112" s="33" t="s">
        <v>9</v>
      </c>
      <c r="I112" s="23" t="s">
        <v>10</v>
      </c>
      <c r="J112" s="23" t="s">
        <v>357</v>
      </c>
      <c r="K112" s="21">
        <v>470</v>
      </c>
      <c r="L112" s="83">
        <f>VLOOKUP(K112,'Tarifs 40%'!$B$4:$C$20,2,TRUE)</f>
        <v>23.5</v>
      </c>
      <c r="M112" s="45">
        <f t="shared" si="3"/>
        <v>9.4</v>
      </c>
      <c r="N112" s="36">
        <v>9.4499999999999993</v>
      </c>
      <c r="O112" s="53"/>
    </row>
    <row r="113" spans="2:15" ht="26.4" x14ac:dyDescent="0.25">
      <c r="B113" s="57" t="s">
        <v>695</v>
      </c>
      <c r="C113" s="22" t="s">
        <v>359</v>
      </c>
      <c r="D113" s="73">
        <v>112</v>
      </c>
      <c r="E113" s="23">
        <v>2025</v>
      </c>
      <c r="F113" s="24" t="s">
        <v>360</v>
      </c>
      <c r="G113" s="23"/>
      <c r="H113" s="33" t="s">
        <v>14</v>
      </c>
      <c r="I113" s="23" t="s">
        <v>15</v>
      </c>
      <c r="J113" s="23" t="s">
        <v>361</v>
      </c>
      <c r="K113" s="21">
        <v>402</v>
      </c>
      <c r="L113" s="83">
        <f>VLOOKUP(K113,'Tarifs 40%'!$B$4:$C$20,2,TRUE)</f>
        <v>23.5</v>
      </c>
      <c r="M113" s="45">
        <f t="shared" si="3"/>
        <v>9.4</v>
      </c>
      <c r="N113" s="36">
        <v>9.4499999999999993</v>
      </c>
      <c r="O113" s="53"/>
    </row>
    <row r="114" spans="2:15" ht="25.2" customHeight="1" x14ac:dyDescent="0.25">
      <c r="B114" s="57" t="s">
        <v>695</v>
      </c>
      <c r="C114" s="22" t="s">
        <v>667</v>
      </c>
      <c r="D114" s="73">
        <v>113</v>
      </c>
      <c r="E114" s="23">
        <v>2025</v>
      </c>
      <c r="F114" s="24" t="s">
        <v>668</v>
      </c>
      <c r="G114" s="23" t="s">
        <v>31</v>
      </c>
      <c r="H114" s="33" t="s">
        <v>9</v>
      </c>
      <c r="I114" s="23" t="s">
        <v>10</v>
      </c>
      <c r="J114" s="23" t="s">
        <v>669</v>
      </c>
      <c r="K114" s="21">
        <v>608</v>
      </c>
      <c r="L114" s="83">
        <f>VLOOKUP(K114,'Tarifs 40%'!$B$4:$C$20,2,TRUE)</f>
        <v>33.299999999999997</v>
      </c>
      <c r="M114" s="45">
        <f t="shared" si="3"/>
        <v>13.32</v>
      </c>
      <c r="N114" s="36">
        <v>13.35</v>
      </c>
      <c r="O114" s="53"/>
    </row>
    <row r="115" spans="2:15" ht="26.4" x14ac:dyDescent="0.25">
      <c r="B115" s="57" t="s">
        <v>695</v>
      </c>
      <c r="C115" s="22" t="s">
        <v>362</v>
      </c>
      <c r="D115" s="73">
        <v>114</v>
      </c>
      <c r="E115" s="23">
        <v>2025</v>
      </c>
      <c r="F115" s="24" t="s">
        <v>363</v>
      </c>
      <c r="G115" s="23" t="s">
        <v>31</v>
      </c>
      <c r="H115" s="33" t="s">
        <v>9</v>
      </c>
      <c r="I115" s="23" t="s">
        <v>10</v>
      </c>
      <c r="J115" s="69" t="s">
        <v>364</v>
      </c>
      <c r="K115" s="21">
        <v>695</v>
      </c>
      <c r="L115" s="83">
        <f>VLOOKUP(K115,'Tarifs 40%'!$B$4:$C$20,2,TRUE)</f>
        <v>33.299999999999997</v>
      </c>
      <c r="M115" s="45">
        <f t="shared" si="3"/>
        <v>13.32</v>
      </c>
      <c r="N115" s="36">
        <v>13.35</v>
      </c>
      <c r="O115" s="53"/>
    </row>
    <row r="116" spans="2:15" ht="15" x14ac:dyDescent="0.25">
      <c r="B116" s="57" t="s">
        <v>695</v>
      </c>
      <c r="C116" s="22" t="s">
        <v>365</v>
      </c>
      <c r="D116" s="73">
        <v>115</v>
      </c>
      <c r="E116" s="23">
        <v>2025</v>
      </c>
      <c r="F116" s="24" t="s">
        <v>366</v>
      </c>
      <c r="G116" s="23" t="s">
        <v>13</v>
      </c>
      <c r="H116" s="33" t="s">
        <v>9</v>
      </c>
      <c r="I116" s="23" t="s">
        <v>10</v>
      </c>
      <c r="J116" s="23" t="s">
        <v>367</v>
      </c>
      <c r="K116" s="21">
        <v>1906</v>
      </c>
      <c r="L116" s="83">
        <f>VLOOKUP(K116,'Tarifs 40%'!$B$4:$C$20,2,TRUE)</f>
        <v>69.3</v>
      </c>
      <c r="M116" s="45">
        <f t="shared" si="3"/>
        <v>27.72</v>
      </c>
      <c r="N116" s="36">
        <v>27.75</v>
      </c>
      <c r="O116" s="53"/>
    </row>
    <row r="117" spans="2:15" ht="39.6" x14ac:dyDescent="0.25">
      <c r="B117" s="57" t="s">
        <v>695</v>
      </c>
      <c r="C117" s="22" t="s">
        <v>615</v>
      </c>
      <c r="D117" s="73">
        <v>116</v>
      </c>
      <c r="E117" s="23">
        <v>2025</v>
      </c>
      <c r="F117" s="24" t="s">
        <v>234</v>
      </c>
      <c r="G117" s="23" t="s">
        <v>56</v>
      </c>
      <c r="H117" s="33" t="s">
        <v>9</v>
      </c>
      <c r="I117" s="23" t="s">
        <v>10</v>
      </c>
      <c r="J117" s="23" t="s">
        <v>235</v>
      </c>
      <c r="K117" s="21">
        <v>3947</v>
      </c>
      <c r="L117" s="85">
        <f>VLOOKUP(K117,'Tarifs 40%'!$B$4:$C$20,2,TRUE)</f>
        <v>93.3</v>
      </c>
      <c r="M117" s="45">
        <f t="shared" si="3"/>
        <v>37.32</v>
      </c>
      <c r="N117" s="61">
        <v>37.450000000000003</v>
      </c>
      <c r="O117" s="53"/>
    </row>
    <row r="118" spans="2:15" ht="26.4" x14ac:dyDescent="0.25">
      <c r="B118" s="57" t="s">
        <v>695</v>
      </c>
      <c r="C118" s="22" t="s">
        <v>369</v>
      </c>
      <c r="D118" s="73">
        <v>117</v>
      </c>
      <c r="E118" s="23">
        <v>2025</v>
      </c>
      <c r="F118" s="24" t="s">
        <v>370</v>
      </c>
      <c r="G118" s="23"/>
      <c r="H118" s="33" t="s">
        <v>14</v>
      </c>
      <c r="I118" s="23" t="s">
        <v>15</v>
      </c>
      <c r="J118" s="69" t="s">
        <v>371</v>
      </c>
      <c r="K118" s="21">
        <v>2522</v>
      </c>
      <c r="L118" s="83">
        <f>VLOOKUP(K118,'Tarifs 40%'!$B$4:$C$20,2,TRUE)</f>
        <v>85.4</v>
      </c>
      <c r="M118" s="45">
        <f t="shared" si="3"/>
        <v>34.159999999999997</v>
      </c>
      <c r="N118" s="36">
        <v>34.15</v>
      </c>
      <c r="O118" s="53"/>
    </row>
    <row r="119" spans="2:15" ht="26.4" x14ac:dyDescent="0.25">
      <c r="B119" s="57" t="s">
        <v>701</v>
      </c>
      <c r="C119" s="22" t="s">
        <v>372</v>
      </c>
      <c r="D119" s="73">
        <v>118</v>
      </c>
      <c r="E119" s="23">
        <v>2025</v>
      </c>
      <c r="F119" s="24" t="s">
        <v>373</v>
      </c>
      <c r="G119" s="23" t="s">
        <v>68</v>
      </c>
      <c r="H119" s="33" t="s">
        <v>9</v>
      </c>
      <c r="I119" s="23" t="s">
        <v>10</v>
      </c>
      <c r="J119" s="23" t="s">
        <v>374</v>
      </c>
      <c r="K119" s="21">
        <v>2500</v>
      </c>
      <c r="L119" s="83">
        <f>VLOOKUP(K119,'Tarifs 40%'!$B$4:$C$20,2,TRUE)</f>
        <v>78</v>
      </c>
      <c r="M119" s="45">
        <f t="shared" si="3"/>
        <v>31.2</v>
      </c>
      <c r="N119" s="36">
        <v>31.25</v>
      </c>
      <c r="O119" s="53"/>
    </row>
    <row r="120" spans="2:15" ht="26.4" x14ac:dyDescent="0.25">
      <c r="B120" s="57" t="s">
        <v>701</v>
      </c>
      <c r="C120" s="22" t="s">
        <v>718</v>
      </c>
      <c r="D120" s="73">
        <v>119</v>
      </c>
      <c r="E120" s="23">
        <v>2025</v>
      </c>
      <c r="F120" s="24" t="s">
        <v>376</v>
      </c>
      <c r="G120" s="23"/>
      <c r="H120" s="33" t="s">
        <v>28</v>
      </c>
      <c r="I120" s="23" t="s">
        <v>15</v>
      </c>
      <c r="J120" s="23" t="s">
        <v>377</v>
      </c>
      <c r="K120" s="21">
        <v>536</v>
      </c>
      <c r="L120" s="83">
        <f>VLOOKUP(K120,'Tarifs 40%'!$B$4:$C$20,2,TRUE)</f>
        <v>33.299999999999997</v>
      </c>
      <c r="M120" s="45">
        <f t="shared" si="3"/>
        <v>13.32</v>
      </c>
      <c r="N120" s="36">
        <v>13.35</v>
      </c>
      <c r="O120" s="53"/>
    </row>
    <row r="121" spans="2:15" ht="30.6" x14ac:dyDescent="0.25">
      <c r="B121" s="57" t="s">
        <v>695</v>
      </c>
      <c r="C121" s="22" t="s">
        <v>378</v>
      </c>
      <c r="D121" s="73">
        <v>120</v>
      </c>
      <c r="E121" s="23">
        <v>2025</v>
      </c>
      <c r="F121" s="23" t="s">
        <v>379</v>
      </c>
      <c r="G121" s="23"/>
      <c r="H121" s="33" t="s">
        <v>189</v>
      </c>
      <c r="I121" s="23" t="s">
        <v>380</v>
      </c>
      <c r="J121" s="69" t="s">
        <v>670</v>
      </c>
      <c r="K121" s="21">
        <v>2488</v>
      </c>
      <c r="L121" s="83">
        <f>VLOOKUP(K121,'Tarifs 40%'!$B$4:$C$20,2,TRUE)</f>
        <v>78</v>
      </c>
      <c r="M121" s="45">
        <f t="shared" si="3"/>
        <v>31.2</v>
      </c>
      <c r="N121" s="36">
        <v>31.25</v>
      </c>
      <c r="O121" s="53"/>
    </row>
    <row r="122" spans="2:15" ht="15" x14ac:dyDescent="0.25">
      <c r="B122" s="57" t="s">
        <v>701</v>
      </c>
      <c r="C122" s="22" t="s">
        <v>381</v>
      </c>
      <c r="D122" s="73">
        <v>121</v>
      </c>
      <c r="E122" s="23">
        <v>2025</v>
      </c>
      <c r="F122" s="24" t="s">
        <v>382</v>
      </c>
      <c r="G122" s="23" t="s">
        <v>383</v>
      </c>
      <c r="H122" s="33" t="s">
        <v>9</v>
      </c>
      <c r="I122" s="23" t="s">
        <v>158</v>
      </c>
      <c r="J122" s="23" t="s">
        <v>384</v>
      </c>
      <c r="K122" s="21">
        <v>333</v>
      </c>
      <c r="L122" s="83">
        <f>VLOOKUP(K122,'Tarifs 40%'!$B$4:$C$20,2,TRUE)</f>
        <v>23.5</v>
      </c>
      <c r="M122" s="45">
        <f t="shared" si="3"/>
        <v>9.4</v>
      </c>
      <c r="N122" s="36">
        <v>9.4499999999999993</v>
      </c>
      <c r="O122" s="53"/>
    </row>
    <row r="123" spans="2:15" ht="26.4" x14ac:dyDescent="0.25">
      <c r="B123" s="57" t="s">
        <v>695</v>
      </c>
      <c r="C123" s="22" t="s">
        <v>385</v>
      </c>
      <c r="D123" s="73">
        <v>122</v>
      </c>
      <c r="E123" s="23">
        <v>2025</v>
      </c>
      <c r="F123" s="24" t="s">
        <v>386</v>
      </c>
      <c r="G123" s="23" t="s">
        <v>21</v>
      </c>
      <c r="H123" s="33" t="s">
        <v>9</v>
      </c>
      <c r="I123" s="23" t="s">
        <v>10</v>
      </c>
      <c r="J123" s="23" t="s">
        <v>387</v>
      </c>
      <c r="K123" s="21">
        <v>70</v>
      </c>
      <c r="L123" s="83">
        <f>VLOOKUP(K123,'Tarifs 40%'!$B$4:$C$20,2,TRUE)</f>
        <v>13.6</v>
      </c>
      <c r="M123" s="45">
        <f t="shared" si="3"/>
        <v>5.44</v>
      </c>
      <c r="N123" s="36">
        <v>5.45</v>
      </c>
      <c r="O123" s="53"/>
    </row>
    <row r="124" spans="2:15" ht="26.4" x14ac:dyDescent="0.25">
      <c r="B124" s="57" t="s">
        <v>695</v>
      </c>
      <c r="C124" s="22" t="s">
        <v>388</v>
      </c>
      <c r="D124" s="73">
        <v>123</v>
      </c>
      <c r="E124" s="23">
        <v>2025</v>
      </c>
      <c r="F124" s="24" t="s">
        <v>389</v>
      </c>
      <c r="G124" s="23" t="s">
        <v>13</v>
      </c>
      <c r="H124" s="33" t="s">
        <v>9</v>
      </c>
      <c r="I124" s="23" t="s">
        <v>10</v>
      </c>
      <c r="J124" s="69" t="s">
        <v>671</v>
      </c>
      <c r="K124" s="21">
        <v>3095</v>
      </c>
      <c r="L124" s="85">
        <f>VLOOKUP(K124,'Tarifs 40%'!$B$4:$C$20,2,TRUE)</f>
        <v>93.3</v>
      </c>
      <c r="M124" s="45">
        <f t="shared" si="3"/>
        <v>37.32</v>
      </c>
      <c r="N124" s="61">
        <v>37.450000000000003</v>
      </c>
      <c r="O124" s="53"/>
    </row>
    <row r="125" spans="2:15" ht="26.4" x14ac:dyDescent="0.25">
      <c r="B125" s="57" t="s">
        <v>701</v>
      </c>
      <c r="C125" s="22" t="s">
        <v>717</v>
      </c>
      <c r="D125" s="73">
        <v>124</v>
      </c>
      <c r="E125" s="23">
        <v>2025</v>
      </c>
      <c r="F125" s="24" t="s">
        <v>391</v>
      </c>
      <c r="G125" s="23" t="s">
        <v>31</v>
      </c>
      <c r="H125" s="33" t="s">
        <v>9</v>
      </c>
      <c r="I125" s="23" t="s">
        <v>10</v>
      </c>
      <c r="J125" s="23" t="s">
        <v>392</v>
      </c>
      <c r="K125" s="21">
        <v>1385</v>
      </c>
      <c r="L125" s="83">
        <f>VLOOKUP(K125,'Tarifs 40%'!$B$4:$C$20,2,TRUE)</f>
        <v>54.4</v>
      </c>
      <c r="M125" s="45">
        <f t="shared" si="3"/>
        <v>21.76</v>
      </c>
      <c r="N125" s="36">
        <v>21.75</v>
      </c>
      <c r="O125" s="53"/>
    </row>
    <row r="126" spans="2:15" ht="30.6" x14ac:dyDescent="0.25">
      <c r="B126" s="57" t="s">
        <v>701</v>
      </c>
      <c r="C126" s="22" t="s">
        <v>716</v>
      </c>
      <c r="D126" s="73">
        <v>125</v>
      </c>
      <c r="E126" s="23">
        <v>2025</v>
      </c>
      <c r="F126" s="24" t="s">
        <v>394</v>
      </c>
      <c r="G126" s="23" t="s">
        <v>56</v>
      </c>
      <c r="H126" s="33" t="s">
        <v>9</v>
      </c>
      <c r="I126" s="23" t="s">
        <v>10</v>
      </c>
      <c r="J126" s="69" t="s">
        <v>395</v>
      </c>
      <c r="K126" s="21">
        <v>2698</v>
      </c>
      <c r="L126" s="83">
        <f>VLOOKUP(K126,'Tarifs 40%'!$B$4:$C$20,2,TRUE)</f>
        <v>85.4</v>
      </c>
      <c r="M126" s="45">
        <f t="shared" si="3"/>
        <v>34.159999999999997</v>
      </c>
      <c r="N126" s="36">
        <v>34.15</v>
      </c>
      <c r="O126" s="53"/>
    </row>
    <row r="127" spans="2:15" ht="26.4" x14ac:dyDescent="0.25">
      <c r="B127" s="57" t="s">
        <v>695</v>
      </c>
      <c r="C127" s="22" t="s">
        <v>396</v>
      </c>
      <c r="D127" s="73">
        <v>126</v>
      </c>
      <c r="E127" s="23">
        <v>2025</v>
      </c>
      <c r="F127" s="24" t="s">
        <v>397</v>
      </c>
      <c r="G127" s="23"/>
      <c r="H127" s="33" t="s">
        <v>28</v>
      </c>
      <c r="I127" s="23" t="s">
        <v>15</v>
      </c>
      <c r="J127" s="23" t="s">
        <v>398</v>
      </c>
      <c r="K127" s="21">
        <v>2393</v>
      </c>
      <c r="L127" s="83">
        <f>VLOOKUP(K127,'Tarifs 40%'!$B$4:$C$20,2,TRUE)</f>
        <v>78</v>
      </c>
      <c r="M127" s="45">
        <f t="shared" si="3"/>
        <v>31.2</v>
      </c>
      <c r="N127" s="36">
        <v>31.25</v>
      </c>
      <c r="O127" s="53"/>
    </row>
    <row r="128" spans="2:15" ht="26.4" x14ac:dyDescent="0.25">
      <c r="B128" s="57" t="s">
        <v>695</v>
      </c>
      <c r="C128" s="22" t="s">
        <v>399</v>
      </c>
      <c r="D128" s="73">
        <v>127</v>
      </c>
      <c r="E128" s="23">
        <v>2025</v>
      </c>
      <c r="F128" s="24" t="s">
        <v>400</v>
      </c>
      <c r="G128" s="23"/>
      <c r="H128" s="33" t="s">
        <v>9</v>
      </c>
      <c r="I128" s="23" t="s">
        <v>10</v>
      </c>
      <c r="J128" s="23" t="s">
        <v>401</v>
      </c>
      <c r="K128" s="21">
        <v>1860</v>
      </c>
      <c r="L128" s="83">
        <f>VLOOKUP(K128,'Tarifs 40%'!$B$4:$C$20,2,TRUE)</f>
        <v>69.3</v>
      </c>
      <c r="M128" s="45">
        <f t="shared" ref="M128:M159" si="4">L128*40/100</f>
        <v>27.72</v>
      </c>
      <c r="N128" s="36">
        <v>27.75</v>
      </c>
      <c r="O128" s="53"/>
    </row>
    <row r="129" spans="2:15" ht="15" x14ac:dyDescent="0.25">
      <c r="B129" s="57" t="s">
        <v>701</v>
      </c>
      <c r="C129" s="22" t="s">
        <v>715</v>
      </c>
      <c r="D129" s="73">
        <v>128</v>
      </c>
      <c r="E129" s="23">
        <v>2025</v>
      </c>
      <c r="F129" s="24" t="s">
        <v>403</v>
      </c>
      <c r="G129" s="23" t="s">
        <v>177</v>
      </c>
      <c r="H129" s="33" t="s">
        <v>9</v>
      </c>
      <c r="I129" s="23" t="s">
        <v>10</v>
      </c>
      <c r="J129" s="23" t="s">
        <v>404</v>
      </c>
      <c r="K129" s="21">
        <v>2170</v>
      </c>
      <c r="L129" s="83">
        <f>VLOOKUP(K129,'Tarifs 40%'!$B$4:$C$20,2,TRUE)</f>
        <v>78</v>
      </c>
      <c r="M129" s="45">
        <f t="shared" si="4"/>
        <v>31.2</v>
      </c>
      <c r="N129" s="36">
        <v>31.25</v>
      </c>
      <c r="O129" s="53"/>
    </row>
    <row r="130" spans="2:15" ht="26.4" x14ac:dyDescent="0.25">
      <c r="B130" s="57" t="s">
        <v>695</v>
      </c>
      <c r="C130" s="22" t="s">
        <v>405</v>
      </c>
      <c r="D130" s="73">
        <v>129</v>
      </c>
      <c r="E130" s="23">
        <v>2025</v>
      </c>
      <c r="F130" s="24" t="s">
        <v>406</v>
      </c>
      <c r="G130" s="23" t="s">
        <v>31</v>
      </c>
      <c r="H130" s="33" t="s">
        <v>9</v>
      </c>
      <c r="I130" s="23" t="s">
        <v>10</v>
      </c>
      <c r="J130" s="23" t="s">
        <v>407</v>
      </c>
      <c r="K130" s="21">
        <v>1144</v>
      </c>
      <c r="L130" s="83">
        <f>VLOOKUP(K130,'Tarifs 40%'!$B$4:$C$20,2,TRUE)</f>
        <v>48</v>
      </c>
      <c r="M130" s="45">
        <f t="shared" si="4"/>
        <v>19.2</v>
      </c>
      <c r="N130" s="36">
        <v>19.25</v>
      </c>
      <c r="O130" s="53"/>
    </row>
    <row r="131" spans="2:15" ht="26.4" x14ac:dyDescent="0.25">
      <c r="B131" s="57" t="s">
        <v>701</v>
      </c>
      <c r="C131" s="22" t="s">
        <v>688</v>
      </c>
      <c r="D131" s="73">
        <v>130</v>
      </c>
      <c r="E131" s="23">
        <v>2025</v>
      </c>
      <c r="F131" s="24" t="s">
        <v>689</v>
      </c>
      <c r="G131" s="23"/>
      <c r="H131" s="33" t="s">
        <v>189</v>
      </c>
      <c r="I131" s="23" t="s">
        <v>190</v>
      </c>
      <c r="J131" s="23" t="s">
        <v>408</v>
      </c>
      <c r="K131" s="21">
        <v>734</v>
      </c>
      <c r="L131" s="83">
        <f>VLOOKUP(K131,'Tarifs 40%'!$B$4:$C$20,2,TRUE)</f>
        <v>33.299999999999997</v>
      </c>
      <c r="M131" s="45">
        <f t="shared" si="4"/>
        <v>13.32</v>
      </c>
      <c r="N131" s="36">
        <v>13.35</v>
      </c>
      <c r="O131" s="53"/>
    </row>
    <row r="132" spans="2:15" ht="20.399999999999999" x14ac:dyDescent="0.25">
      <c r="B132" s="57" t="s">
        <v>695</v>
      </c>
      <c r="C132" s="22" t="s">
        <v>409</v>
      </c>
      <c r="D132" s="73">
        <v>131</v>
      </c>
      <c r="E132" s="23">
        <v>2025</v>
      </c>
      <c r="F132" s="24" t="s">
        <v>410</v>
      </c>
      <c r="G132" s="23" t="s">
        <v>31</v>
      </c>
      <c r="H132" s="33" t="s">
        <v>9</v>
      </c>
      <c r="I132" s="23" t="s">
        <v>10</v>
      </c>
      <c r="J132" s="69" t="s">
        <v>672</v>
      </c>
      <c r="K132" s="21">
        <v>593</v>
      </c>
      <c r="L132" s="83">
        <f>VLOOKUP(K132,'Tarifs 40%'!$B$4:$C$20,2,TRUE)</f>
        <v>33.299999999999997</v>
      </c>
      <c r="M132" s="45">
        <f t="shared" si="4"/>
        <v>13.32</v>
      </c>
      <c r="N132" s="36">
        <v>13.35</v>
      </c>
      <c r="O132" s="53"/>
    </row>
    <row r="133" spans="2:15" ht="26.4" x14ac:dyDescent="0.25">
      <c r="B133" s="57" t="s">
        <v>701</v>
      </c>
      <c r="C133" s="22" t="s">
        <v>714</v>
      </c>
      <c r="D133" s="73">
        <v>132</v>
      </c>
      <c r="E133" s="23">
        <v>2025</v>
      </c>
      <c r="F133" s="24" t="s">
        <v>412</v>
      </c>
      <c r="G133" s="23" t="s">
        <v>13</v>
      </c>
      <c r="H133" s="33" t="s">
        <v>9</v>
      </c>
      <c r="I133" s="23" t="s">
        <v>10</v>
      </c>
      <c r="J133" s="23" t="s">
        <v>413</v>
      </c>
      <c r="K133" s="21">
        <v>500</v>
      </c>
      <c r="L133" s="83">
        <f>VLOOKUP(K133,'Tarifs 40%'!$B$4:$C$20,2,TRUE)</f>
        <v>23.5</v>
      </c>
      <c r="M133" s="45">
        <f t="shared" si="4"/>
        <v>9.4</v>
      </c>
      <c r="N133" s="36">
        <v>9.4499999999999993</v>
      </c>
      <c r="O133" s="53"/>
    </row>
    <row r="134" spans="2:15" ht="26.4" x14ac:dyDescent="0.25">
      <c r="B134" s="57" t="s">
        <v>701</v>
      </c>
      <c r="C134" s="22" t="s">
        <v>414</v>
      </c>
      <c r="D134" s="73">
        <v>133</v>
      </c>
      <c r="E134" s="23">
        <v>2025</v>
      </c>
      <c r="F134" s="24" t="s">
        <v>415</v>
      </c>
      <c r="G134" s="23"/>
      <c r="H134" s="33" t="s">
        <v>28</v>
      </c>
      <c r="I134" s="23" t="s">
        <v>15</v>
      </c>
      <c r="J134" s="23" t="s">
        <v>673</v>
      </c>
      <c r="K134" s="21">
        <v>1026</v>
      </c>
      <c r="L134" s="83">
        <f>VLOOKUP(K134,'Tarifs 40%'!$B$4:$C$20,2,TRUE)</f>
        <v>48</v>
      </c>
      <c r="M134" s="45">
        <f t="shared" si="4"/>
        <v>19.2</v>
      </c>
      <c r="N134" s="36">
        <v>19.25</v>
      </c>
      <c r="O134" s="53"/>
    </row>
    <row r="135" spans="2:15" ht="26.4" x14ac:dyDescent="0.25">
      <c r="B135" s="57" t="s">
        <v>701</v>
      </c>
      <c r="C135" s="22" t="s">
        <v>416</v>
      </c>
      <c r="D135" s="73">
        <v>134</v>
      </c>
      <c r="E135" s="23">
        <v>2025</v>
      </c>
      <c r="F135" s="24" t="s">
        <v>417</v>
      </c>
      <c r="G135" s="23" t="s">
        <v>31</v>
      </c>
      <c r="H135" s="33" t="s">
        <v>9</v>
      </c>
      <c r="I135" s="23" t="s">
        <v>10</v>
      </c>
      <c r="J135" s="23" t="s">
        <v>418</v>
      </c>
      <c r="K135" s="21">
        <v>808</v>
      </c>
      <c r="L135" s="83">
        <f>VLOOKUP(K135,'Tarifs 40%'!$B$4:$C$20,2,TRUE)</f>
        <v>39.5</v>
      </c>
      <c r="M135" s="45">
        <f t="shared" si="4"/>
        <v>15.8</v>
      </c>
      <c r="N135" s="36">
        <v>15.85</v>
      </c>
      <c r="O135" s="53"/>
    </row>
    <row r="136" spans="2:15" ht="26.4" x14ac:dyDescent="0.25">
      <c r="B136" s="57" t="s">
        <v>701</v>
      </c>
      <c r="C136" s="22" t="s">
        <v>419</v>
      </c>
      <c r="D136" s="73">
        <v>135</v>
      </c>
      <c r="E136" s="23">
        <v>2025</v>
      </c>
      <c r="F136" s="24" t="s">
        <v>420</v>
      </c>
      <c r="G136" s="23" t="s">
        <v>31</v>
      </c>
      <c r="H136" s="33" t="s">
        <v>9</v>
      </c>
      <c r="I136" s="23" t="s">
        <v>10</v>
      </c>
      <c r="J136" s="23" t="s">
        <v>421</v>
      </c>
      <c r="K136" s="21">
        <v>1044</v>
      </c>
      <c r="L136" s="83">
        <f>VLOOKUP(K136,'Tarifs 40%'!$B$4:$C$20,2,TRUE)</f>
        <v>48</v>
      </c>
      <c r="M136" s="45">
        <f t="shared" si="4"/>
        <v>19.2</v>
      </c>
      <c r="N136" s="36">
        <v>19.25</v>
      </c>
      <c r="O136" s="53"/>
    </row>
    <row r="137" spans="2:15" ht="15" x14ac:dyDescent="0.25">
      <c r="B137" s="57" t="s">
        <v>695</v>
      </c>
      <c r="C137" s="22" t="s">
        <v>422</v>
      </c>
      <c r="D137" s="73">
        <v>136</v>
      </c>
      <c r="E137" s="23">
        <v>2025</v>
      </c>
      <c r="F137" s="24" t="s">
        <v>423</v>
      </c>
      <c r="G137" s="23"/>
      <c r="H137" s="33" t="s">
        <v>14</v>
      </c>
      <c r="I137" s="23" t="s">
        <v>15</v>
      </c>
      <c r="J137" s="23" t="s">
        <v>424</v>
      </c>
      <c r="K137" s="21">
        <v>113</v>
      </c>
      <c r="L137" s="83">
        <f>VLOOKUP(K137,'Tarifs 40%'!$B$4:$C$20,2,TRUE)</f>
        <v>13.6</v>
      </c>
      <c r="M137" s="45">
        <f t="shared" si="4"/>
        <v>5.44</v>
      </c>
      <c r="N137" s="36">
        <v>5.45</v>
      </c>
      <c r="O137" s="53"/>
    </row>
    <row r="138" spans="2:15" ht="15" x14ac:dyDescent="0.25">
      <c r="B138" s="57" t="s">
        <v>701</v>
      </c>
      <c r="C138" s="22" t="s">
        <v>729</v>
      </c>
      <c r="D138" s="73">
        <v>137</v>
      </c>
      <c r="E138" s="23">
        <v>2025</v>
      </c>
      <c r="F138" s="24" t="s">
        <v>426</v>
      </c>
      <c r="G138" s="23" t="s">
        <v>427</v>
      </c>
      <c r="H138" s="33" t="s">
        <v>9</v>
      </c>
      <c r="I138" s="23" t="s">
        <v>10</v>
      </c>
      <c r="J138" s="23" t="s">
        <v>428</v>
      </c>
      <c r="K138" s="21">
        <v>338</v>
      </c>
      <c r="L138" s="83">
        <f>VLOOKUP(K138,'Tarifs 40%'!$B$4:$C$20,2,TRUE)</f>
        <v>23.5</v>
      </c>
      <c r="M138" s="45">
        <f t="shared" si="4"/>
        <v>9.4</v>
      </c>
      <c r="N138" s="36">
        <v>9.4499999999999993</v>
      </c>
      <c r="O138" s="53"/>
    </row>
    <row r="139" spans="2:15" ht="26.4" x14ac:dyDescent="0.25">
      <c r="B139" s="57" t="s">
        <v>695</v>
      </c>
      <c r="C139" s="22" t="s">
        <v>429</v>
      </c>
      <c r="D139" s="73">
        <v>138</v>
      </c>
      <c r="E139" s="23">
        <v>2025</v>
      </c>
      <c r="F139" s="24" t="s">
        <v>430</v>
      </c>
      <c r="G139" s="23"/>
      <c r="H139" s="33" t="s">
        <v>274</v>
      </c>
      <c r="I139" s="23" t="s">
        <v>15</v>
      </c>
      <c r="J139" s="23" t="s">
        <v>431</v>
      </c>
      <c r="K139" s="21">
        <v>563</v>
      </c>
      <c r="L139" s="83">
        <f>VLOOKUP(K139,'Tarifs 40%'!$B$4:$C$20,2,TRUE)</f>
        <v>33.299999999999997</v>
      </c>
      <c r="M139" s="45">
        <f t="shared" si="4"/>
        <v>13.32</v>
      </c>
      <c r="N139" s="36">
        <v>13.35</v>
      </c>
      <c r="O139" s="53"/>
    </row>
    <row r="140" spans="2:15" ht="26.4" x14ac:dyDescent="0.25">
      <c r="B140" s="57" t="s">
        <v>701</v>
      </c>
      <c r="C140" s="22" t="s">
        <v>713</v>
      </c>
      <c r="D140" s="73">
        <v>139</v>
      </c>
      <c r="E140" s="23">
        <v>2025</v>
      </c>
      <c r="F140" s="24" t="s">
        <v>433</v>
      </c>
      <c r="G140" s="23"/>
      <c r="H140" s="33" t="s">
        <v>47</v>
      </c>
      <c r="I140" s="23" t="s">
        <v>434</v>
      </c>
      <c r="J140" s="23" t="s">
        <v>674</v>
      </c>
      <c r="K140" s="21">
        <v>517</v>
      </c>
      <c r="L140" s="83">
        <f>VLOOKUP(K140,'Tarifs 40%'!$B$4:$C$20,2,TRUE)</f>
        <v>33.299999999999997</v>
      </c>
      <c r="M140" s="45">
        <f t="shared" si="4"/>
        <v>13.32</v>
      </c>
      <c r="N140" s="36">
        <v>13.35</v>
      </c>
      <c r="O140" s="53"/>
    </row>
    <row r="141" spans="2:15" ht="15" x14ac:dyDescent="0.25">
      <c r="B141" s="57" t="s">
        <v>695</v>
      </c>
      <c r="C141" s="22" t="s">
        <v>435</v>
      </c>
      <c r="D141" s="73">
        <v>140</v>
      </c>
      <c r="E141" s="23">
        <v>2025</v>
      </c>
      <c r="F141" s="24" t="s">
        <v>436</v>
      </c>
      <c r="G141" s="23" t="s">
        <v>13</v>
      </c>
      <c r="H141" s="33" t="s">
        <v>9</v>
      </c>
      <c r="I141" s="23" t="s">
        <v>10</v>
      </c>
      <c r="J141" s="23" t="s">
        <v>437</v>
      </c>
      <c r="K141" s="21">
        <v>1743</v>
      </c>
      <c r="L141" s="83">
        <f>VLOOKUP(K141,'Tarifs 40%'!$B$4:$C$20,2,TRUE)</f>
        <v>60.7</v>
      </c>
      <c r="M141" s="45">
        <f t="shared" si="4"/>
        <v>24.28</v>
      </c>
      <c r="N141" s="36">
        <v>24.25</v>
      </c>
      <c r="O141" s="53"/>
    </row>
    <row r="142" spans="2:15" ht="26.4" x14ac:dyDescent="0.25">
      <c r="B142" s="57" t="s">
        <v>695</v>
      </c>
      <c r="C142" s="22" t="s">
        <v>438</v>
      </c>
      <c r="D142" s="73">
        <v>141</v>
      </c>
      <c r="E142" s="23">
        <v>2025</v>
      </c>
      <c r="F142" s="24" t="s">
        <v>682</v>
      </c>
      <c r="G142" s="23"/>
      <c r="H142" s="33" t="s">
        <v>189</v>
      </c>
      <c r="I142" s="23" t="s">
        <v>190</v>
      </c>
      <c r="J142" s="23" t="s">
        <v>439</v>
      </c>
      <c r="K142" s="21">
        <v>478</v>
      </c>
      <c r="L142" s="83">
        <f>VLOOKUP(K142,'Tarifs 40%'!$B$4:$C$20,2,TRUE)</f>
        <v>23.5</v>
      </c>
      <c r="M142" s="45">
        <f t="shared" si="4"/>
        <v>9.4</v>
      </c>
      <c r="N142" s="36">
        <v>9.4499999999999993</v>
      </c>
      <c r="O142" s="53">
        <v>45561</v>
      </c>
    </row>
    <row r="143" spans="2:15" ht="26.4" x14ac:dyDescent="0.25">
      <c r="B143" s="57" t="s">
        <v>726</v>
      </c>
      <c r="C143" s="22" t="s">
        <v>712</v>
      </c>
      <c r="D143" s="73">
        <v>142</v>
      </c>
      <c r="E143" s="23">
        <v>2025</v>
      </c>
      <c r="F143" s="24" t="s">
        <v>617</v>
      </c>
      <c r="G143" s="23"/>
      <c r="H143" s="33" t="s">
        <v>315</v>
      </c>
      <c r="I143" s="23" t="s">
        <v>618</v>
      </c>
      <c r="J143" s="69" t="s">
        <v>619</v>
      </c>
      <c r="K143" s="21">
        <v>1143</v>
      </c>
      <c r="L143" s="83">
        <f>VLOOKUP(K143,'Tarifs 40%'!$B$4:$C$20,2,TRUE)</f>
        <v>48</v>
      </c>
      <c r="M143" s="45">
        <f t="shared" si="4"/>
        <v>19.2</v>
      </c>
      <c r="N143" s="36">
        <v>19.25</v>
      </c>
      <c r="O143" s="53"/>
    </row>
    <row r="144" spans="2:15" ht="26.4" x14ac:dyDescent="0.25">
      <c r="B144" s="57" t="s">
        <v>695</v>
      </c>
      <c r="C144" s="22" t="s">
        <v>440</v>
      </c>
      <c r="D144" s="73">
        <v>143</v>
      </c>
      <c r="E144" s="23">
        <v>2025</v>
      </c>
      <c r="F144" s="24" t="s">
        <v>441</v>
      </c>
      <c r="G144" s="23" t="s">
        <v>31</v>
      </c>
      <c r="H144" s="33" t="s">
        <v>9</v>
      </c>
      <c r="I144" s="23" t="s">
        <v>10</v>
      </c>
      <c r="J144" s="23" t="s">
        <v>442</v>
      </c>
      <c r="K144" s="21">
        <v>438</v>
      </c>
      <c r="L144" s="83">
        <f>VLOOKUP(K144,'Tarifs 40%'!$B$4:$C$20,2,TRUE)</f>
        <v>23.5</v>
      </c>
      <c r="M144" s="45">
        <f t="shared" si="4"/>
        <v>9.4</v>
      </c>
      <c r="N144" s="36">
        <v>9.4499999999999993</v>
      </c>
      <c r="O144" s="53"/>
    </row>
    <row r="145" spans="2:15" ht="22.8" customHeight="1" x14ac:dyDescent="0.25">
      <c r="B145" s="57" t="s">
        <v>695</v>
      </c>
      <c r="C145" s="22" t="s">
        <v>675</v>
      </c>
      <c r="D145" s="73">
        <v>144</v>
      </c>
      <c r="E145" s="23">
        <v>2025</v>
      </c>
      <c r="F145" s="24" t="s">
        <v>676</v>
      </c>
      <c r="G145" s="23" t="s">
        <v>677</v>
      </c>
      <c r="H145" s="33" t="s">
        <v>9</v>
      </c>
      <c r="I145" s="23" t="s">
        <v>10</v>
      </c>
      <c r="J145" s="23" t="s">
        <v>678</v>
      </c>
      <c r="K145" s="21">
        <v>4255</v>
      </c>
      <c r="L145" s="85">
        <f>VLOOKUP(K145,'Tarifs 40%'!$B$4:$C$20,2,TRUE)</f>
        <v>93.3</v>
      </c>
      <c r="M145" s="45">
        <f t="shared" si="4"/>
        <v>37.32</v>
      </c>
      <c r="N145" s="61">
        <v>42</v>
      </c>
      <c r="O145" s="53"/>
    </row>
    <row r="146" spans="2:15" ht="15" x14ac:dyDescent="0.25">
      <c r="B146" s="57" t="s">
        <v>695</v>
      </c>
      <c r="C146" s="22" t="s">
        <v>444</v>
      </c>
      <c r="D146" s="73">
        <v>145</v>
      </c>
      <c r="E146" s="23">
        <v>2025</v>
      </c>
      <c r="F146" s="24" t="s">
        <v>445</v>
      </c>
      <c r="G146" s="23" t="s">
        <v>56</v>
      </c>
      <c r="H146" s="33" t="s">
        <v>9</v>
      </c>
      <c r="I146" s="23" t="s">
        <v>10</v>
      </c>
      <c r="J146" s="23" t="s">
        <v>446</v>
      </c>
      <c r="K146" s="21">
        <v>1087</v>
      </c>
      <c r="L146" s="83">
        <f>VLOOKUP(K146,'Tarifs 40%'!$B$4:$C$20,2,TRUE)</f>
        <v>48</v>
      </c>
      <c r="M146" s="45">
        <f t="shared" si="4"/>
        <v>19.2</v>
      </c>
      <c r="N146" s="36">
        <v>19.350000000000001</v>
      </c>
      <c r="O146" s="53"/>
    </row>
    <row r="147" spans="2:15" ht="26.4" x14ac:dyDescent="0.25">
      <c r="B147" s="57" t="s">
        <v>695</v>
      </c>
      <c r="C147" s="22" t="s">
        <v>449</v>
      </c>
      <c r="D147" s="73">
        <v>146</v>
      </c>
      <c r="E147" s="23">
        <v>2025</v>
      </c>
      <c r="F147" s="24" t="s">
        <v>450</v>
      </c>
      <c r="G147" s="23" t="s">
        <v>31</v>
      </c>
      <c r="H147" s="33" t="s">
        <v>9</v>
      </c>
      <c r="I147" s="23" t="s">
        <v>10</v>
      </c>
      <c r="J147" s="23" t="s">
        <v>451</v>
      </c>
      <c r="K147" s="21">
        <v>577</v>
      </c>
      <c r="L147" s="83">
        <f>VLOOKUP(K147,'Tarifs 40%'!$B$4:$C$20,2,TRUE)</f>
        <v>33.299999999999997</v>
      </c>
      <c r="M147" s="45">
        <f t="shared" si="4"/>
        <v>13.32</v>
      </c>
      <c r="N147" s="36">
        <v>13.35</v>
      </c>
      <c r="O147" s="53"/>
    </row>
    <row r="148" spans="2:15" ht="26.4" x14ac:dyDescent="0.25">
      <c r="B148" s="57" t="s">
        <v>695</v>
      </c>
      <c r="C148" s="22" t="s">
        <v>452</v>
      </c>
      <c r="D148" s="73">
        <v>147</v>
      </c>
      <c r="E148" s="23">
        <v>2025</v>
      </c>
      <c r="F148" s="24" t="s">
        <v>453</v>
      </c>
      <c r="G148" s="23"/>
      <c r="H148" s="33" t="s">
        <v>9</v>
      </c>
      <c r="I148" s="23" t="s">
        <v>10</v>
      </c>
      <c r="J148" s="23" t="s">
        <v>454</v>
      </c>
      <c r="K148" s="21">
        <v>721</v>
      </c>
      <c r="L148" s="83">
        <f>VLOOKUP(K148,'Tarifs 40%'!$B$4:$C$20,2,TRUE)</f>
        <v>33.299999999999997</v>
      </c>
      <c r="M148" s="45">
        <f t="shared" si="4"/>
        <v>13.32</v>
      </c>
      <c r="N148" s="36">
        <v>13.35</v>
      </c>
      <c r="O148" s="53"/>
    </row>
    <row r="149" spans="2:15" ht="15" x14ac:dyDescent="0.25">
      <c r="B149" s="57" t="s">
        <v>695</v>
      </c>
      <c r="C149" s="22" t="s">
        <v>455</v>
      </c>
      <c r="D149" s="73">
        <v>148</v>
      </c>
      <c r="E149" s="23">
        <v>2025</v>
      </c>
      <c r="F149" s="24" t="s">
        <v>456</v>
      </c>
      <c r="G149" s="23"/>
      <c r="H149" s="33" t="s">
        <v>9</v>
      </c>
      <c r="I149" s="23" t="s">
        <v>10</v>
      </c>
      <c r="J149" s="23" t="s">
        <v>457</v>
      </c>
      <c r="K149" s="21">
        <v>3452</v>
      </c>
      <c r="L149" s="85">
        <f>VLOOKUP(K149,'Tarifs 40%'!$B$4:$C$20,2,TRUE)</f>
        <v>93.3</v>
      </c>
      <c r="M149" s="45">
        <f t="shared" si="4"/>
        <v>37.32</v>
      </c>
      <c r="N149" s="61">
        <v>37.450000000000003</v>
      </c>
      <c r="O149" s="53"/>
    </row>
    <row r="150" spans="2:15" ht="26.4" x14ac:dyDescent="0.25">
      <c r="B150" s="57" t="s">
        <v>701</v>
      </c>
      <c r="C150" s="22" t="s">
        <v>711</v>
      </c>
      <c r="D150" s="73">
        <v>149</v>
      </c>
      <c r="E150" s="23">
        <v>2025</v>
      </c>
      <c r="F150" s="24" t="s">
        <v>459</v>
      </c>
      <c r="G150" s="23"/>
      <c r="H150" s="33" t="s">
        <v>9</v>
      </c>
      <c r="I150" s="23" t="s">
        <v>10</v>
      </c>
      <c r="J150" s="23" t="s">
        <v>460</v>
      </c>
      <c r="K150" s="21">
        <v>553</v>
      </c>
      <c r="L150" s="83">
        <f>VLOOKUP(K150,'Tarifs 40%'!$B$4:$C$20,2,TRUE)</f>
        <v>33.299999999999997</v>
      </c>
      <c r="M150" s="45">
        <f t="shared" si="4"/>
        <v>13.32</v>
      </c>
      <c r="N150" s="36">
        <v>13.35</v>
      </c>
      <c r="O150" s="53"/>
    </row>
    <row r="151" spans="2:15" ht="39.6" x14ac:dyDescent="0.25">
      <c r="B151" s="57" t="s">
        <v>701</v>
      </c>
      <c r="C151" s="22" t="s">
        <v>461</v>
      </c>
      <c r="D151" s="73">
        <v>150</v>
      </c>
      <c r="E151" s="23">
        <v>2025</v>
      </c>
      <c r="F151" s="24" t="s">
        <v>462</v>
      </c>
      <c r="G151" s="23" t="s">
        <v>99</v>
      </c>
      <c r="H151" s="33" t="s">
        <v>9</v>
      </c>
      <c r="I151" s="23" t="s">
        <v>10</v>
      </c>
      <c r="J151" s="23" t="s">
        <v>463</v>
      </c>
      <c r="K151" s="21">
        <v>875</v>
      </c>
      <c r="L151" s="83">
        <f>VLOOKUP(K151,'Tarifs 40%'!$B$4:$C$20,2,TRUE)</f>
        <v>39.5</v>
      </c>
      <c r="M151" s="45">
        <f t="shared" si="4"/>
        <v>15.8</v>
      </c>
      <c r="N151" s="36">
        <v>15.85</v>
      </c>
      <c r="O151" s="53"/>
    </row>
    <row r="152" spans="2:15" ht="26.4" x14ac:dyDescent="0.25">
      <c r="B152" s="57" t="s">
        <v>695</v>
      </c>
      <c r="C152" s="22" t="s">
        <v>464</v>
      </c>
      <c r="D152" s="73">
        <v>151</v>
      </c>
      <c r="E152" s="23">
        <v>2025</v>
      </c>
      <c r="F152" s="24" t="s">
        <v>465</v>
      </c>
      <c r="G152" s="23" t="s">
        <v>56</v>
      </c>
      <c r="H152" s="33" t="s">
        <v>189</v>
      </c>
      <c r="I152" s="23" t="s">
        <v>190</v>
      </c>
      <c r="J152" s="23" t="s">
        <v>466</v>
      </c>
      <c r="K152" s="21">
        <v>540</v>
      </c>
      <c r="L152" s="83">
        <f>VLOOKUP(K152,'Tarifs 40%'!$B$4:$C$20,2,TRUE)</f>
        <v>33.299999999999997</v>
      </c>
      <c r="M152" s="45">
        <f t="shared" si="4"/>
        <v>13.32</v>
      </c>
      <c r="N152" s="36">
        <v>13.35</v>
      </c>
      <c r="O152" s="53"/>
    </row>
    <row r="153" spans="2:15" ht="15" x14ac:dyDescent="0.25">
      <c r="B153" s="57" t="s">
        <v>695</v>
      </c>
      <c r="C153" s="22" t="s">
        <v>467</v>
      </c>
      <c r="D153" s="73">
        <v>152</v>
      </c>
      <c r="E153" s="23">
        <v>2025</v>
      </c>
      <c r="F153" s="24" t="s">
        <v>468</v>
      </c>
      <c r="G153" s="23" t="s">
        <v>56</v>
      </c>
      <c r="H153" s="33" t="s">
        <v>9</v>
      </c>
      <c r="I153" s="23" t="s">
        <v>10</v>
      </c>
      <c r="J153" s="23" t="s">
        <v>469</v>
      </c>
      <c r="K153" s="21">
        <v>601</v>
      </c>
      <c r="L153" s="83">
        <f>VLOOKUP(K153,'Tarifs 40%'!$B$4:$C$20,2,TRUE)</f>
        <v>33.299999999999997</v>
      </c>
      <c r="M153" s="45">
        <f t="shared" si="4"/>
        <v>13.32</v>
      </c>
      <c r="N153" s="36">
        <v>13.35</v>
      </c>
      <c r="O153" s="53"/>
    </row>
    <row r="154" spans="2:15" ht="30.6" x14ac:dyDescent="0.25">
      <c r="B154" s="57" t="s">
        <v>695</v>
      </c>
      <c r="C154" s="22" t="s">
        <v>470</v>
      </c>
      <c r="D154" s="73">
        <v>153</v>
      </c>
      <c r="E154" s="23">
        <v>2025</v>
      </c>
      <c r="F154" s="24" t="s">
        <v>471</v>
      </c>
      <c r="G154" s="23"/>
      <c r="H154" s="33" t="s">
        <v>42</v>
      </c>
      <c r="I154" s="23" t="s">
        <v>15</v>
      </c>
      <c r="J154" s="69" t="s">
        <v>472</v>
      </c>
      <c r="K154" s="21">
        <v>1243</v>
      </c>
      <c r="L154" s="83">
        <f>VLOOKUP(K154,'Tarifs 40%'!$B$4:$C$20,2,TRUE)</f>
        <v>48</v>
      </c>
      <c r="M154" s="45">
        <f t="shared" si="4"/>
        <v>19.2</v>
      </c>
      <c r="N154" s="36">
        <v>19.45</v>
      </c>
      <c r="O154" s="53"/>
    </row>
    <row r="155" spans="2:15" ht="26.4" x14ac:dyDescent="0.25">
      <c r="B155" s="57" t="s">
        <v>701</v>
      </c>
      <c r="C155" s="22" t="s">
        <v>473</v>
      </c>
      <c r="D155" s="73">
        <v>154</v>
      </c>
      <c r="E155" s="23">
        <v>2025</v>
      </c>
      <c r="F155" s="24" t="s">
        <v>474</v>
      </c>
      <c r="G155" s="23" t="s">
        <v>56</v>
      </c>
      <c r="H155" s="33" t="s">
        <v>28</v>
      </c>
      <c r="I155" s="23" t="s">
        <v>15</v>
      </c>
      <c r="J155" s="23" t="s">
        <v>475</v>
      </c>
      <c r="K155" s="21">
        <v>400</v>
      </c>
      <c r="L155" s="83">
        <f>VLOOKUP(K155,'Tarifs 40%'!$B$4:$C$20,2,TRUE)</f>
        <v>23.5</v>
      </c>
      <c r="M155" s="45">
        <f t="shared" si="4"/>
        <v>9.4</v>
      </c>
      <c r="N155" s="36">
        <v>9.4499999999999993</v>
      </c>
      <c r="O155" s="53"/>
    </row>
    <row r="156" spans="2:15" ht="15" x14ac:dyDescent="0.25">
      <c r="B156" s="57" t="s">
        <v>695</v>
      </c>
      <c r="C156" s="22" t="s">
        <v>476</v>
      </c>
      <c r="D156" s="73">
        <v>155</v>
      </c>
      <c r="E156" s="23">
        <v>2025</v>
      </c>
      <c r="F156" s="24" t="s">
        <v>477</v>
      </c>
      <c r="G156" s="23" t="s">
        <v>21</v>
      </c>
      <c r="H156" s="33" t="s">
        <v>9</v>
      </c>
      <c r="I156" s="23" t="s">
        <v>10</v>
      </c>
      <c r="J156" s="23" t="s">
        <v>478</v>
      </c>
      <c r="K156" s="21">
        <v>590</v>
      </c>
      <c r="L156" s="83">
        <f>VLOOKUP(K156,'Tarifs 40%'!$B$4:$C$20,2,TRUE)</f>
        <v>33.299999999999997</v>
      </c>
      <c r="M156" s="45">
        <f t="shared" si="4"/>
        <v>13.32</v>
      </c>
      <c r="N156" s="36">
        <v>13.35</v>
      </c>
      <c r="O156" s="53"/>
    </row>
    <row r="157" spans="2:15" ht="26.4" x14ac:dyDescent="0.25">
      <c r="B157" s="57" t="s">
        <v>695</v>
      </c>
      <c r="C157" s="22" t="s">
        <v>479</v>
      </c>
      <c r="D157" s="73">
        <v>156</v>
      </c>
      <c r="E157" s="23">
        <v>2025</v>
      </c>
      <c r="F157" s="24" t="s">
        <v>480</v>
      </c>
      <c r="G157" s="23"/>
      <c r="H157" s="33" t="s">
        <v>9</v>
      </c>
      <c r="I157" s="23" t="s">
        <v>10</v>
      </c>
      <c r="J157" s="23" t="s">
        <v>481</v>
      </c>
      <c r="K157" s="21">
        <v>946</v>
      </c>
      <c r="L157" s="83">
        <f>VLOOKUP(K157,'Tarifs 40%'!$B$4:$C$20,2,TRUE)</f>
        <v>39.5</v>
      </c>
      <c r="M157" s="45">
        <f t="shared" si="4"/>
        <v>15.8</v>
      </c>
      <c r="N157" s="36">
        <v>15.85</v>
      </c>
      <c r="O157" s="53"/>
    </row>
    <row r="158" spans="2:15" ht="39.6" x14ac:dyDescent="0.25">
      <c r="B158" s="57" t="s">
        <v>695</v>
      </c>
      <c r="C158" s="22" t="s">
        <v>482</v>
      </c>
      <c r="D158" s="73">
        <v>157</v>
      </c>
      <c r="E158" s="23">
        <v>2025</v>
      </c>
      <c r="F158" s="24" t="s">
        <v>483</v>
      </c>
      <c r="G158" s="23"/>
      <c r="H158" s="33" t="s">
        <v>9</v>
      </c>
      <c r="I158" s="23" t="s">
        <v>10</v>
      </c>
      <c r="J158" s="23" t="s">
        <v>484</v>
      </c>
      <c r="K158" s="21">
        <v>1845</v>
      </c>
      <c r="L158" s="83">
        <f>VLOOKUP(K158,'Tarifs 40%'!$B$4:$C$20,2,TRUE)</f>
        <v>69.3</v>
      </c>
      <c r="M158" s="45">
        <f t="shared" si="4"/>
        <v>27.72</v>
      </c>
      <c r="N158" s="36">
        <v>27.75</v>
      </c>
      <c r="O158" s="53"/>
    </row>
    <row r="159" spans="2:15" ht="20.399999999999999" x14ac:dyDescent="0.25">
      <c r="B159" s="57" t="s">
        <v>695</v>
      </c>
      <c r="C159" s="22" t="s">
        <v>485</v>
      </c>
      <c r="D159" s="73">
        <v>158</v>
      </c>
      <c r="E159" s="23">
        <v>2025</v>
      </c>
      <c r="F159" s="24" t="s">
        <v>486</v>
      </c>
      <c r="G159" s="23" t="s">
        <v>31</v>
      </c>
      <c r="H159" s="33" t="s">
        <v>9</v>
      </c>
      <c r="I159" s="23" t="s">
        <v>10</v>
      </c>
      <c r="J159" s="69" t="s">
        <v>487</v>
      </c>
      <c r="K159" s="21">
        <v>1172</v>
      </c>
      <c r="L159" s="83">
        <f>VLOOKUP(K159,'Tarifs 40%'!$B$4:$C$20,2,TRUE)</f>
        <v>48</v>
      </c>
      <c r="M159" s="45">
        <f t="shared" si="4"/>
        <v>19.2</v>
      </c>
      <c r="N159" s="36">
        <v>19.25</v>
      </c>
      <c r="O159" s="53"/>
    </row>
    <row r="160" spans="2:15" ht="15" x14ac:dyDescent="0.25">
      <c r="B160" s="57" t="s">
        <v>695</v>
      </c>
      <c r="C160" s="22" t="s">
        <v>488</v>
      </c>
      <c r="D160" s="73">
        <v>159</v>
      </c>
      <c r="E160" s="23">
        <v>2025</v>
      </c>
      <c r="F160" s="24" t="s">
        <v>489</v>
      </c>
      <c r="G160" s="23" t="s">
        <v>21</v>
      </c>
      <c r="H160" s="33" t="s">
        <v>9</v>
      </c>
      <c r="I160" s="23" t="s">
        <v>10</v>
      </c>
      <c r="J160" s="23" t="s">
        <v>490</v>
      </c>
      <c r="K160" s="21">
        <v>407</v>
      </c>
      <c r="L160" s="83">
        <f>VLOOKUP(K160,'Tarifs 40%'!$B$4:$C$20,2,TRUE)</f>
        <v>23.5</v>
      </c>
      <c r="M160" s="45">
        <f t="shared" ref="M160:M191" si="5">L160*40/100</f>
        <v>9.4</v>
      </c>
      <c r="N160" s="36">
        <v>9.4499999999999993</v>
      </c>
      <c r="O160" s="53"/>
    </row>
    <row r="161" spans="2:15" ht="39.6" x14ac:dyDescent="0.25">
      <c r="B161" s="57" t="s">
        <v>695</v>
      </c>
      <c r="C161" s="22" t="s">
        <v>491</v>
      </c>
      <c r="D161" s="73">
        <v>160</v>
      </c>
      <c r="E161" s="23">
        <v>2025</v>
      </c>
      <c r="F161" s="24" t="s">
        <v>492</v>
      </c>
      <c r="G161" s="23" t="s">
        <v>99</v>
      </c>
      <c r="H161" s="33" t="s">
        <v>9</v>
      </c>
      <c r="I161" s="23" t="s">
        <v>10</v>
      </c>
      <c r="J161" s="23" t="s">
        <v>493</v>
      </c>
      <c r="K161" s="21">
        <v>1434</v>
      </c>
      <c r="L161" s="83">
        <f>VLOOKUP(K161,'Tarifs 40%'!$B$4:$C$20,2,TRUE)</f>
        <v>54.4</v>
      </c>
      <c r="M161" s="45">
        <f t="shared" si="5"/>
        <v>21.76</v>
      </c>
      <c r="N161" s="36">
        <v>21.75</v>
      </c>
      <c r="O161" s="53"/>
    </row>
    <row r="162" spans="2:15" ht="26.4" x14ac:dyDescent="0.25">
      <c r="B162" s="57" t="s">
        <v>701</v>
      </c>
      <c r="C162" s="22" t="s">
        <v>710</v>
      </c>
      <c r="D162" s="73">
        <v>161</v>
      </c>
      <c r="E162" s="23">
        <v>2025</v>
      </c>
      <c r="F162" s="24" t="s">
        <v>495</v>
      </c>
      <c r="G162" s="23"/>
      <c r="H162" s="33" t="s">
        <v>28</v>
      </c>
      <c r="I162" s="23" t="s">
        <v>15</v>
      </c>
      <c r="J162" s="23" t="s">
        <v>496</v>
      </c>
      <c r="K162" s="21">
        <v>758</v>
      </c>
      <c r="L162" s="83">
        <f>VLOOKUP(K162,'Tarifs 40%'!$B$4:$C$20,2,TRUE)</f>
        <v>39.5</v>
      </c>
      <c r="M162" s="45">
        <f t="shared" si="5"/>
        <v>15.8</v>
      </c>
      <c r="N162" s="36">
        <v>13.35</v>
      </c>
      <c r="O162" s="53"/>
    </row>
    <row r="163" spans="2:15" ht="26.4" x14ac:dyDescent="0.25">
      <c r="B163" s="57" t="s">
        <v>695</v>
      </c>
      <c r="C163" s="22" t="s">
        <v>497</v>
      </c>
      <c r="D163" s="73">
        <v>162</v>
      </c>
      <c r="E163" s="23">
        <v>2025</v>
      </c>
      <c r="F163" s="24" t="s">
        <v>498</v>
      </c>
      <c r="G163" s="23"/>
      <c r="H163" s="33" t="s">
        <v>9</v>
      </c>
      <c r="I163" s="23" t="s">
        <v>10</v>
      </c>
      <c r="J163" s="23" t="s">
        <v>499</v>
      </c>
      <c r="K163" s="21">
        <v>3083</v>
      </c>
      <c r="L163" s="85">
        <f>VLOOKUP(K163,'Tarifs 40%'!$B$4:$C$20,2,TRUE)</f>
        <v>93.3</v>
      </c>
      <c r="M163" s="45">
        <f t="shared" si="5"/>
        <v>37.32</v>
      </c>
      <c r="N163" s="61">
        <v>37.450000000000003</v>
      </c>
      <c r="O163" s="53"/>
    </row>
    <row r="164" spans="2:15" ht="15" x14ac:dyDescent="0.25">
      <c r="B164" s="57" t="s">
        <v>695</v>
      </c>
      <c r="C164" s="22" t="s">
        <v>500</v>
      </c>
      <c r="D164" s="73">
        <v>163</v>
      </c>
      <c r="E164" s="23">
        <v>2025</v>
      </c>
      <c r="F164" s="24" t="s">
        <v>501</v>
      </c>
      <c r="G164" s="23" t="s">
        <v>21</v>
      </c>
      <c r="H164" s="33" t="s">
        <v>9</v>
      </c>
      <c r="I164" s="23" t="s">
        <v>10</v>
      </c>
      <c r="J164" s="23" t="s">
        <v>502</v>
      </c>
      <c r="K164" s="21">
        <v>80</v>
      </c>
      <c r="L164" s="83">
        <f>VLOOKUP(K164,'Tarifs 40%'!$B$4:$C$20,2,TRUE)</f>
        <v>13.6</v>
      </c>
      <c r="M164" s="45">
        <f t="shared" si="5"/>
        <v>5.44</v>
      </c>
      <c r="N164" s="36">
        <v>5.45</v>
      </c>
      <c r="O164" s="53"/>
    </row>
    <row r="165" spans="2:15" ht="26.4" x14ac:dyDescent="0.25">
      <c r="B165" s="57" t="s">
        <v>695</v>
      </c>
      <c r="C165" s="22" t="s">
        <v>503</v>
      </c>
      <c r="D165" s="73">
        <v>164</v>
      </c>
      <c r="E165" s="23">
        <v>2025</v>
      </c>
      <c r="F165" s="24" t="s">
        <v>504</v>
      </c>
      <c r="G165" s="23" t="s">
        <v>21</v>
      </c>
      <c r="H165" s="33" t="s">
        <v>9</v>
      </c>
      <c r="I165" s="23" t="s">
        <v>10</v>
      </c>
      <c r="J165" s="23" t="s">
        <v>505</v>
      </c>
      <c r="K165" s="21">
        <v>1075</v>
      </c>
      <c r="L165" s="83">
        <f>VLOOKUP(K165,'Tarifs 40%'!$B$4:$C$20,2,TRUE)</f>
        <v>48</v>
      </c>
      <c r="M165" s="45">
        <f t="shared" si="5"/>
        <v>19.2</v>
      </c>
      <c r="N165" s="36">
        <v>19.25</v>
      </c>
      <c r="O165" s="53"/>
    </row>
    <row r="166" spans="2:15" ht="26.4" x14ac:dyDescent="0.25">
      <c r="B166" s="57" t="s">
        <v>695</v>
      </c>
      <c r="C166" s="22" t="s">
        <v>506</v>
      </c>
      <c r="D166" s="73">
        <v>165</v>
      </c>
      <c r="E166" s="23">
        <v>2025</v>
      </c>
      <c r="F166" s="24" t="s">
        <v>507</v>
      </c>
      <c r="G166" s="23"/>
      <c r="H166" s="33" t="s">
        <v>9</v>
      </c>
      <c r="I166" s="23" t="s">
        <v>10</v>
      </c>
      <c r="J166" s="23" t="s">
        <v>508</v>
      </c>
      <c r="K166" s="21">
        <v>1664</v>
      </c>
      <c r="L166" s="83">
        <f>VLOOKUP(K166,'Tarifs 40%'!$B$4:$C$20,2,TRUE)</f>
        <v>60.7</v>
      </c>
      <c r="M166" s="45">
        <f t="shared" si="5"/>
        <v>24.28</v>
      </c>
      <c r="N166" s="36">
        <v>24.25</v>
      </c>
      <c r="O166" s="53"/>
    </row>
    <row r="167" spans="2:15" ht="26.4" x14ac:dyDescent="0.25">
      <c r="B167" s="57" t="s">
        <v>695</v>
      </c>
      <c r="C167" s="22" t="s">
        <v>509</v>
      </c>
      <c r="D167" s="73">
        <v>166</v>
      </c>
      <c r="E167" s="23">
        <v>2025</v>
      </c>
      <c r="F167" s="24" t="s">
        <v>510</v>
      </c>
      <c r="G167" s="23" t="s">
        <v>21</v>
      </c>
      <c r="H167" s="33" t="s">
        <v>9</v>
      </c>
      <c r="I167" s="23" t="s">
        <v>10</v>
      </c>
      <c r="J167" s="23" t="s">
        <v>511</v>
      </c>
      <c r="K167" s="21">
        <v>850</v>
      </c>
      <c r="L167" s="83">
        <f>VLOOKUP(K167,'Tarifs 40%'!$B$4:$C$20,2,TRUE)</f>
        <v>39.5</v>
      </c>
      <c r="M167" s="45">
        <f t="shared" si="5"/>
        <v>15.8</v>
      </c>
      <c r="N167" s="36">
        <v>15.85</v>
      </c>
      <c r="O167" s="53"/>
    </row>
    <row r="168" spans="2:15" ht="15" x14ac:dyDescent="0.25">
      <c r="B168" s="57" t="s">
        <v>701</v>
      </c>
      <c r="C168" s="22" t="s">
        <v>512</v>
      </c>
      <c r="D168" s="73">
        <v>167</v>
      </c>
      <c r="E168" s="23">
        <v>2025</v>
      </c>
      <c r="F168" s="24" t="s">
        <v>513</v>
      </c>
      <c r="G168" s="23"/>
      <c r="H168" s="33" t="s">
        <v>189</v>
      </c>
      <c r="I168" s="23" t="s">
        <v>190</v>
      </c>
      <c r="J168" s="23" t="s">
        <v>514</v>
      </c>
      <c r="K168" s="21">
        <v>1067</v>
      </c>
      <c r="L168" s="83">
        <f>VLOOKUP(K168,'Tarifs 40%'!$B$4:$C$20,2,TRUE)</f>
        <v>48</v>
      </c>
      <c r="M168" s="45">
        <f t="shared" si="5"/>
        <v>19.2</v>
      </c>
      <c r="N168" s="36">
        <v>19.45</v>
      </c>
      <c r="O168" s="53"/>
    </row>
    <row r="169" spans="2:15" ht="26.4" x14ac:dyDescent="0.25">
      <c r="B169" s="57" t="s">
        <v>695</v>
      </c>
      <c r="C169" s="22" t="s">
        <v>515</v>
      </c>
      <c r="D169" s="73">
        <v>168</v>
      </c>
      <c r="E169" s="23">
        <v>2025</v>
      </c>
      <c r="F169" s="24" t="s">
        <v>516</v>
      </c>
      <c r="G169" s="23" t="s">
        <v>13</v>
      </c>
      <c r="H169" s="33" t="s">
        <v>9</v>
      </c>
      <c r="I169" s="23" t="s">
        <v>10</v>
      </c>
      <c r="J169" s="23" t="s">
        <v>517</v>
      </c>
      <c r="K169" s="21">
        <v>1253</v>
      </c>
      <c r="L169" s="83">
        <f>VLOOKUP(K169,'Tarifs 40%'!$B$4:$C$20,2,TRUE)</f>
        <v>54.4</v>
      </c>
      <c r="M169" s="45">
        <f t="shared" si="5"/>
        <v>21.76</v>
      </c>
      <c r="N169" s="36">
        <v>21.75</v>
      </c>
      <c r="O169" s="53"/>
    </row>
    <row r="170" spans="2:15" ht="15" x14ac:dyDescent="0.25">
      <c r="B170" s="57" t="s">
        <v>695</v>
      </c>
      <c r="C170" s="22" t="s">
        <v>518</v>
      </c>
      <c r="D170" s="73">
        <v>169</v>
      </c>
      <c r="E170" s="23">
        <v>2025</v>
      </c>
      <c r="F170" s="24" t="s">
        <v>519</v>
      </c>
      <c r="G170" s="23" t="s">
        <v>56</v>
      </c>
      <c r="H170" s="33" t="s">
        <v>9</v>
      </c>
      <c r="I170" s="23" t="s">
        <v>10</v>
      </c>
      <c r="J170" s="23" t="s">
        <v>520</v>
      </c>
      <c r="K170" s="21">
        <v>1644</v>
      </c>
      <c r="L170" s="83">
        <f>VLOOKUP(K170,'Tarifs 40%'!$B$4:$C$20,2,TRUE)</f>
        <v>60.7</v>
      </c>
      <c r="M170" s="45">
        <f t="shared" si="5"/>
        <v>24.28</v>
      </c>
      <c r="N170" s="36">
        <v>24.35</v>
      </c>
      <c r="O170" s="53"/>
    </row>
    <row r="171" spans="2:15" ht="39.6" x14ac:dyDescent="0.25">
      <c r="B171" s="57" t="s">
        <v>695</v>
      </c>
      <c r="C171" s="22" t="s">
        <v>521</v>
      </c>
      <c r="D171" s="73">
        <v>170</v>
      </c>
      <c r="E171" s="23">
        <v>2025</v>
      </c>
      <c r="F171" s="24" t="s">
        <v>522</v>
      </c>
      <c r="G171" s="23"/>
      <c r="H171" s="33" t="s">
        <v>210</v>
      </c>
      <c r="I171" s="23" t="s">
        <v>211</v>
      </c>
      <c r="J171" s="23" t="s">
        <v>523</v>
      </c>
      <c r="K171" s="21">
        <v>1151</v>
      </c>
      <c r="L171" s="83">
        <f>VLOOKUP(K171,'Tarifs 40%'!$B$4:$C$20,2,TRUE)</f>
        <v>48</v>
      </c>
      <c r="M171" s="45">
        <f t="shared" si="5"/>
        <v>19.2</v>
      </c>
      <c r="N171" s="36">
        <v>19.25</v>
      </c>
      <c r="O171" s="53"/>
    </row>
    <row r="172" spans="2:15" ht="26.4" x14ac:dyDescent="0.25">
      <c r="B172" s="57" t="s">
        <v>695</v>
      </c>
      <c r="C172" s="22" t="s">
        <v>524</v>
      </c>
      <c r="D172" s="73">
        <v>171</v>
      </c>
      <c r="E172" s="23">
        <v>2025</v>
      </c>
      <c r="F172" s="24" t="s">
        <v>525</v>
      </c>
      <c r="G172" s="23" t="s">
        <v>99</v>
      </c>
      <c r="H172" s="33" t="s">
        <v>9</v>
      </c>
      <c r="I172" s="23" t="s">
        <v>10</v>
      </c>
      <c r="J172" s="23" t="s">
        <v>526</v>
      </c>
      <c r="K172" s="21">
        <v>2300</v>
      </c>
      <c r="L172" s="83">
        <f>VLOOKUP(K172,'Tarifs 40%'!$B$4:$C$20,2,TRUE)</f>
        <v>78</v>
      </c>
      <c r="M172" s="45">
        <f t="shared" si="5"/>
        <v>31.2</v>
      </c>
      <c r="N172" s="36">
        <v>31.25</v>
      </c>
      <c r="O172" s="53"/>
    </row>
    <row r="173" spans="2:15" ht="26.4" x14ac:dyDescent="0.25">
      <c r="B173" s="57" t="s">
        <v>695</v>
      </c>
      <c r="C173" s="22" t="s">
        <v>527</v>
      </c>
      <c r="D173" s="73">
        <v>172</v>
      </c>
      <c r="E173" s="23">
        <v>2025</v>
      </c>
      <c r="F173" s="24" t="s">
        <v>528</v>
      </c>
      <c r="G173" s="23"/>
      <c r="H173" s="33" t="s">
        <v>315</v>
      </c>
      <c r="I173" s="23" t="s">
        <v>316</v>
      </c>
      <c r="J173" s="23" t="s">
        <v>529</v>
      </c>
      <c r="K173" s="21">
        <v>378</v>
      </c>
      <c r="L173" s="83">
        <f>VLOOKUP(K173,'Tarifs 40%'!$B$4:$C$20,2,TRUE)</f>
        <v>23.5</v>
      </c>
      <c r="M173" s="45">
        <f t="shared" si="5"/>
        <v>9.4</v>
      </c>
      <c r="N173" s="36">
        <v>9.4499999999999993</v>
      </c>
      <c r="O173" s="53"/>
    </row>
    <row r="174" spans="2:15" ht="26.4" x14ac:dyDescent="0.25">
      <c r="B174" s="57" t="s">
        <v>724</v>
      </c>
      <c r="C174" s="22" t="s">
        <v>530</v>
      </c>
      <c r="D174" s="73">
        <v>173</v>
      </c>
      <c r="E174" s="23">
        <v>2025</v>
      </c>
      <c r="F174" s="24" t="s">
        <v>148</v>
      </c>
      <c r="G174" s="23" t="s">
        <v>21</v>
      </c>
      <c r="H174" s="33" t="s">
        <v>9</v>
      </c>
      <c r="I174" s="23" t="s">
        <v>10</v>
      </c>
      <c r="J174" s="69" t="s">
        <v>531</v>
      </c>
      <c r="K174" s="21">
        <v>1461</v>
      </c>
      <c r="L174" s="83">
        <f>VLOOKUP(K174,'Tarifs 40%'!$B$4:$C$20,2,TRUE)</f>
        <v>54.4</v>
      </c>
      <c r="M174" s="45">
        <f t="shared" si="5"/>
        <v>21.76</v>
      </c>
      <c r="N174" s="36">
        <v>21.75</v>
      </c>
      <c r="O174" s="53"/>
    </row>
    <row r="175" spans="2:15" ht="15" x14ac:dyDescent="0.25">
      <c r="B175" s="57" t="s">
        <v>695</v>
      </c>
      <c r="C175" s="22" t="s">
        <v>623</v>
      </c>
      <c r="D175" s="73">
        <v>174</v>
      </c>
      <c r="E175" s="23">
        <v>2025</v>
      </c>
      <c r="F175" s="24" t="s">
        <v>624</v>
      </c>
      <c r="G175" s="23"/>
      <c r="H175" s="33" t="s">
        <v>274</v>
      </c>
      <c r="I175" s="23" t="s">
        <v>15</v>
      </c>
      <c r="J175" s="23" t="s">
        <v>625</v>
      </c>
      <c r="K175" s="21">
        <v>329</v>
      </c>
      <c r="L175" s="83">
        <f>VLOOKUP(K175,'Tarifs 40%'!$B$4:$C$20,2,TRUE)</f>
        <v>23.5</v>
      </c>
      <c r="M175" s="45">
        <f t="shared" si="5"/>
        <v>9.4</v>
      </c>
      <c r="N175" s="36">
        <v>9.4499999999999993</v>
      </c>
      <c r="O175" s="53" t="s">
        <v>679</v>
      </c>
    </row>
    <row r="176" spans="2:15" ht="26.4" x14ac:dyDescent="0.25">
      <c r="B176" s="57" t="s">
        <v>701</v>
      </c>
      <c r="C176" s="22" t="s">
        <v>725</v>
      </c>
      <c r="D176" s="73">
        <v>175</v>
      </c>
      <c r="E176" s="23">
        <v>2025</v>
      </c>
      <c r="F176" s="24" t="s">
        <v>533</v>
      </c>
      <c r="G176" s="23"/>
      <c r="H176" s="33" t="s">
        <v>14</v>
      </c>
      <c r="I176" s="23" t="s">
        <v>15</v>
      </c>
      <c r="J176" s="23" t="s">
        <v>534</v>
      </c>
      <c r="K176" s="21">
        <v>1012</v>
      </c>
      <c r="L176" s="83">
        <f>VLOOKUP(K176,'Tarifs 40%'!$B$4:$C$20,2,TRUE)</f>
        <v>48</v>
      </c>
      <c r="M176" s="45">
        <f t="shared" si="5"/>
        <v>19.2</v>
      </c>
      <c r="N176" s="36">
        <v>19.25</v>
      </c>
      <c r="O176" s="53"/>
    </row>
    <row r="177" spans="2:15" ht="15" x14ac:dyDescent="0.25">
      <c r="B177" s="57" t="s">
        <v>695</v>
      </c>
      <c r="C177" s="22" t="s">
        <v>535</v>
      </c>
      <c r="D177" s="73">
        <v>176</v>
      </c>
      <c r="E177" s="23">
        <v>2025</v>
      </c>
      <c r="F177" s="24" t="s">
        <v>536</v>
      </c>
      <c r="G177" s="23" t="s">
        <v>99</v>
      </c>
      <c r="H177" s="33" t="s">
        <v>9</v>
      </c>
      <c r="I177" s="23" t="s">
        <v>10</v>
      </c>
      <c r="J177" s="23" t="s">
        <v>537</v>
      </c>
      <c r="K177" s="21">
        <v>438</v>
      </c>
      <c r="L177" s="83">
        <f>VLOOKUP(K177,'Tarifs 40%'!$B$4:$C$20,2,TRUE)</f>
        <v>23.5</v>
      </c>
      <c r="M177" s="45">
        <f t="shared" si="5"/>
        <v>9.4</v>
      </c>
      <c r="N177" s="36">
        <v>9.4499999999999993</v>
      </c>
      <c r="O177" s="53"/>
    </row>
    <row r="178" spans="2:15" ht="26.4" x14ac:dyDescent="0.25">
      <c r="B178" s="57" t="s">
        <v>701</v>
      </c>
      <c r="C178" s="22" t="s">
        <v>709</v>
      </c>
      <c r="D178" s="73">
        <v>177</v>
      </c>
      <c r="E178" s="23">
        <v>2025</v>
      </c>
      <c r="F178" s="24" t="s">
        <v>539</v>
      </c>
      <c r="G178" s="23" t="s">
        <v>99</v>
      </c>
      <c r="H178" s="33" t="s">
        <v>28</v>
      </c>
      <c r="I178" s="23" t="s">
        <v>15</v>
      </c>
      <c r="J178" s="23" t="s">
        <v>540</v>
      </c>
      <c r="K178" s="21">
        <v>593</v>
      </c>
      <c r="L178" s="83">
        <f>VLOOKUP(K178,'Tarifs 40%'!$B$4:$C$20,2,TRUE)</f>
        <v>33.299999999999997</v>
      </c>
      <c r="M178" s="45">
        <f t="shared" si="5"/>
        <v>13.32</v>
      </c>
      <c r="N178" s="36">
        <v>13.35</v>
      </c>
      <c r="O178" s="53"/>
    </row>
    <row r="179" spans="2:15" ht="26.4" x14ac:dyDescent="0.25">
      <c r="B179" s="57" t="s">
        <v>724</v>
      </c>
      <c r="C179" s="22" t="s">
        <v>541</v>
      </c>
      <c r="D179" s="73">
        <v>178</v>
      </c>
      <c r="E179" s="23">
        <v>2025</v>
      </c>
      <c r="F179" s="24" t="s">
        <v>542</v>
      </c>
      <c r="G179" s="23" t="s">
        <v>21</v>
      </c>
      <c r="H179" s="33" t="s">
        <v>9</v>
      </c>
      <c r="I179" s="23" t="s">
        <v>10</v>
      </c>
      <c r="J179" s="23" t="s">
        <v>543</v>
      </c>
      <c r="K179" s="21">
        <v>460</v>
      </c>
      <c r="L179" s="83">
        <f>VLOOKUP(K179,'Tarifs 40%'!$B$4:$C$20,2,TRUE)</f>
        <v>23.5</v>
      </c>
      <c r="M179" s="45">
        <f t="shared" si="5"/>
        <v>9.4</v>
      </c>
      <c r="N179" s="36">
        <v>9.4499999999999993</v>
      </c>
      <c r="O179" s="53"/>
    </row>
    <row r="180" spans="2:15" ht="20.399999999999999" x14ac:dyDescent="0.25">
      <c r="B180" s="57" t="s">
        <v>695</v>
      </c>
      <c r="C180" s="22" t="s">
        <v>544</v>
      </c>
      <c r="D180" s="73">
        <v>179</v>
      </c>
      <c r="E180" s="23">
        <v>2025</v>
      </c>
      <c r="F180" s="24" t="s">
        <v>545</v>
      </c>
      <c r="G180" s="23"/>
      <c r="H180" s="33" t="s">
        <v>9</v>
      </c>
      <c r="I180" s="23" t="s">
        <v>10</v>
      </c>
      <c r="J180" s="69" t="s">
        <v>546</v>
      </c>
      <c r="K180" s="21">
        <v>3656</v>
      </c>
      <c r="L180" s="85">
        <f>VLOOKUP(K180,'Tarifs 40%'!$B$4:$C$20,2,TRUE)</f>
        <v>93.3</v>
      </c>
      <c r="M180" s="45">
        <f t="shared" si="5"/>
        <v>37.32</v>
      </c>
      <c r="N180" s="61">
        <v>37.450000000000003</v>
      </c>
      <c r="O180" s="53"/>
    </row>
    <row r="181" spans="2:15" ht="26.4" x14ac:dyDescent="0.25">
      <c r="B181" s="57" t="s">
        <v>724</v>
      </c>
      <c r="C181" s="22" t="s">
        <v>547</v>
      </c>
      <c r="D181" s="73">
        <v>180</v>
      </c>
      <c r="E181" s="23">
        <v>2025</v>
      </c>
      <c r="F181" s="24" t="s">
        <v>627</v>
      </c>
      <c r="G181" s="23"/>
      <c r="H181" s="33" t="s">
        <v>9</v>
      </c>
      <c r="I181" s="23" t="s">
        <v>10</v>
      </c>
      <c r="J181" s="23" t="s">
        <v>548</v>
      </c>
      <c r="K181" s="21">
        <v>692</v>
      </c>
      <c r="L181" s="83">
        <f>VLOOKUP(K181,'Tarifs 40%'!$B$4:$C$20,2,TRUE)</f>
        <v>33.299999999999997</v>
      </c>
      <c r="M181" s="45">
        <f t="shared" si="5"/>
        <v>13.32</v>
      </c>
      <c r="N181" s="36">
        <v>13.35</v>
      </c>
      <c r="O181" s="53"/>
    </row>
    <row r="182" spans="2:15" ht="26.4" x14ac:dyDescent="0.25">
      <c r="B182" s="57" t="s">
        <v>701</v>
      </c>
      <c r="C182" s="22" t="s">
        <v>549</v>
      </c>
      <c r="D182" s="73">
        <v>181</v>
      </c>
      <c r="E182" s="23">
        <v>2025</v>
      </c>
      <c r="F182" s="24" t="s">
        <v>550</v>
      </c>
      <c r="G182" s="23"/>
      <c r="H182" s="33" t="s">
        <v>28</v>
      </c>
      <c r="I182" s="23" t="s">
        <v>15</v>
      </c>
      <c r="J182" s="23" t="s">
        <v>551</v>
      </c>
      <c r="K182" s="21">
        <v>618</v>
      </c>
      <c r="L182" s="83">
        <f>VLOOKUP(K182,'Tarifs 40%'!$B$4:$C$20,2,TRUE)</f>
        <v>33.299999999999997</v>
      </c>
      <c r="M182" s="45">
        <f t="shared" si="5"/>
        <v>13.32</v>
      </c>
      <c r="N182" s="36">
        <v>13.35</v>
      </c>
      <c r="O182" s="53"/>
    </row>
    <row r="183" spans="2:15" ht="15" x14ac:dyDescent="0.25">
      <c r="B183" s="57" t="s">
        <v>695</v>
      </c>
      <c r="C183" s="22" t="s">
        <v>552</v>
      </c>
      <c r="D183" s="73">
        <v>182</v>
      </c>
      <c r="E183" s="23">
        <v>2025</v>
      </c>
      <c r="F183" s="24" t="s">
        <v>553</v>
      </c>
      <c r="G183" s="23"/>
      <c r="H183" s="33" t="s">
        <v>9</v>
      </c>
      <c r="I183" s="23" t="s">
        <v>10</v>
      </c>
      <c r="J183" s="23" t="s">
        <v>554</v>
      </c>
      <c r="K183" s="21">
        <v>520</v>
      </c>
      <c r="L183" s="83">
        <f>VLOOKUP(K183,'Tarifs 40%'!$B$4:$C$20,2,TRUE)</f>
        <v>33.299999999999997</v>
      </c>
      <c r="M183" s="45">
        <f t="shared" si="5"/>
        <v>13.32</v>
      </c>
      <c r="N183" s="36">
        <v>13.35</v>
      </c>
      <c r="O183" s="53"/>
    </row>
    <row r="184" spans="2:15" ht="26.4" x14ac:dyDescent="0.25">
      <c r="B184" s="57" t="s">
        <v>695</v>
      </c>
      <c r="C184" s="22" t="s">
        <v>555</v>
      </c>
      <c r="D184" s="73">
        <v>183</v>
      </c>
      <c r="E184" s="23">
        <v>2025</v>
      </c>
      <c r="F184" s="24" t="s">
        <v>556</v>
      </c>
      <c r="G184" s="23"/>
      <c r="H184" s="33" t="s">
        <v>42</v>
      </c>
      <c r="I184" s="23" t="s">
        <v>15</v>
      </c>
      <c r="J184" s="23" t="s">
        <v>557</v>
      </c>
      <c r="K184" s="21">
        <v>801</v>
      </c>
      <c r="L184" s="83">
        <f>VLOOKUP(K184,'Tarifs 40%'!$B$4:$C$20,2,TRUE)</f>
        <v>39.5</v>
      </c>
      <c r="M184" s="45">
        <f t="shared" si="5"/>
        <v>15.8</v>
      </c>
      <c r="N184" s="36">
        <v>15.85</v>
      </c>
      <c r="O184" s="53"/>
    </row>
    <row r="185" spans="2:15" ht="26.4" x14ac:dyDescent="0.25">
      <c r="B185" s="57" t="s">
        <v>701</v>
      </c>
      <c r="C185" s="22" t="s">
        <v>708</v>
      </c>
      <c r="D185" s="73">
        <v>184</v>
      </c>
      <c r="E185" s="23">
        <v>2025</v>
      </c>
      <c r="F185" s="24" t="s">
        <v>560</v>
      </c>
      <c r="G185" s="23" t="s">
        <v>177</v>
      </c>
      <c r="H185" s="33" t="s">
        <v>9</v>
      </c>
      <c r="I185" s="23" t="s">
        <v>10</v>
      </c>
      <c r="J185" s="23" t="s">
        <v>561</v>
      </c>
      <c r="K185" s="21">
        <v>276</v>
      </c>
      <c r="L185" s="83">
        <f>VLOOKUP(K185,'Tarifs 40%'!$B$4:$C$20,2,TRUE)</f>
        <v>23.5</v>
      </c>
      <c r="M185" s="45">
        <f t="shared" si="5"/>
        <v>9.4</v>
      </c>
      <c r="N185" s="36">
        <v>9.4499999999999993</v>
      </c>
      <c r="O185" s="53"/>
    </row>
    <row r="186" spans="2:15" ht="15" x14ac:dyDescent="0.25">
      <c r="B186" s="57" t="s">
        <v>695</v>
      </c>
      <c r="C186" s="22" t="s">
        <v>562</v>
      </c>
      <c r="D186" s="73">
        <v>185</v>
      </c>
      <c r="E186" s="23">
        <v>2025</v>
      </c>
      <c r="F186" s="24" t="s">
        <v>563</v>
      </c>
      <c r="G186" s="23"/>
      <c r="H186" s="33" t="s">
        <v>47</v>
      </c>
      <c r="I186" s="23" t="s">
        <v>232</v>
      </c>
      <c r="J186" s="23" t="s">
        <v>564</v>
      </c>
      <c r="K186" s="21">
        <v>328</v>
      </c>
      <c r="L186" s="83">
        <f>VLOOKUP(K186,'Tarifs 40%'!$B$4:$C$20,2,TRUE)</f>
        <v>23.5</v>
      </c>
      <c r="M186" s="45">
        <f t="shared" si="5"/>
        <v>9.4</v>
      </c>
      <c r="N186" s="36">
        <v>9.4499999999999993</v>
      </c>
      <c r="O186" s="53"/>
    </row>
    <row r="187" spans="2:15" ht="26.4" x14ac:dyDescent="0.25">
      <c r="B187" s="57" t="s">
        <v>695</v>
      </c>
      <c r="C187" s="22" t="s">
        <v>632</v>
      </c>
      <c r="D187" s="73">
        <v>186</v>
      </c>
      <c r="E187" s="23">
        <v>2025</v>
      </c>
      <c r="F187" s="24" t="s">
        <v>447</v>
      </c>
      <c r="G187" s="23" t="s">
        <v>56</v>
      </c>
      <c r="H187" s="33" t="s">
        <v>9</v>
      </c>
      <c r="I187" s="23" t="s">
        <v>10</v>
      </c>
      <c r="J187" s="23" t="s">
        <v>448</v>
      </c>
      <c r="K187" s="21">
        <v>2269</v>
      </c>
      <c r="L187" s="83">
        <f>VLOOKUP(K187,'Tarifs 40%'!$B$4:$C$20,2,TRUE)</f>
        <v>78</v>
      </c>
      <c r="M187" s="45">
        <f t="shared" si="5"/>
        <v>31.2</v>
      </c>
      <c r="N187" s="36">
        <v>31.25</v>
      </c>
      <c r="O187" s="53"/>
    </row>
    <row r="188" spans="2:15" ht="26.4" x14ac:dyDescent="0.25">
      <c r="B188" s="57" t="s">
        <v>701</v>
      </c>
      <c r="C188" s="22" t="s">
        <v>707</v>
      </c>
      <c r="D188" s="73">
        <v>187</v>
      </c>
      <c r="E188" s="23">
        <v>2025</v>
      </c>
      <c r="F188" s="24" t="s">
        <v>566</v>
      </c>
      <c r="G188" s="23" t="s">
        <v>56</v>
      </c>
      <c r="H188" s="33" t="s">
        <v>9</v>
      </c>
      <c r="I188" s="23" t="s">
        <v>10</v>
      </c>
      <c r="J188" s="23" t="s">
        <v>567</v>
      </c>
      <c r="K188" s="21">
        <v>600</v>
      </c>
      <c r="L188" s="83">
        <f>VLOOKUP(K188,'Tarifs 40%'!$B$4:$C$20,2,TRUE)</f>
        <v>33.299999999999997</v>
      </c>
      <c r="M188" s="45">
        <f t="shared" si="5"/>
        <v>13.32</v>
      </c>
      <c r="N188" s="36">
        <v>13.35</v>
      </c>
      <c r="O188" s="53"/>
    </row>
    <row r="189" spans="2:15" ht="26.4" x14ac:dyDescent="0.25">
      <c r="B189" s="57" t="s">
        <v>701</v>
      </c>
      <c r="C189" s="22" t="s">
        <v>706</v>
      </c>
      <c r="D189" s="73">
        <v>188</v>
      </c>
      <c r="E189" s="23">
        <v>2025</v>
      </c>
      <c r="F189" s="24" t="s">
        <v>569</v>
      </c>
      <c r="G189" s="23"/>
      <c r="H189" s="33" t="s">
        <v>9</v>
      </c>
      <c r="I189" s="23" t="s">
        <v>10</v>
      </c>
      <c r="J189" s="23" t="s">
        <v>570</v>
      </c>
      <c r="K189" s="21">
        <v>2067</v>
      </c>
      <c r="L189" s="83">
        <f>VLOOKUP(K189,'Tarifs 40%'!$B$4:$C$20,2,TRUE)</f>
        <v>78</v>
      </c>
      <c r="M189" s="45">
        <f t="shared" si="5"/>
        <v>31.2</v>
      </c>
      <c r="N189" s="36">
        <v>31.25</v>
      </c>
      <c r="O189" s="53"/>
    </row>
    <row r="190" spans="2:15" ht="26.4" x14ac:dyDescent="0.25">
      <c r="B190" s="57" t="s">
        <v>701</v>
      </c>
      <c r="C190" s="22" t="s">
        <v>705</v>
      </c>
      <c r="D190" s="73">
        <v>189</v>
      </c>
      <c r="E190" s="23">
        <v>2025</v>
      </c>
      <c r="F190" s="24" t="s">
        <v>572</v>
      </c>
      <c r="G190" s="23" t="s">
        <v>13</v>
      </c>
      <c r="H190" s="33" t="s">
        <v>9</v>
      </c>
      <c r="I190" s="23" t="s">
        <v>10</v>
      </c>
      <c r="J190" s="23" t="s">
        <v>573</v>
      </c>
      <c r="K190" s="21">
        <v>1199</v>
      </c>
      <c r="L190" s="86">
        <f>VLOOKUP(K190,'Tarifs 40%'!$B$4:$C$20,2,TRUE)</f>
        <v>48</v>
      </c>
      <c r="M190" s="45">
        <f t="shared" si="5"/>
        <v>19.2</v>
      </c>
      <c r="N190" s="36">
        <v>19.350000000000001</v>
      </c>
      <c r="O190" s="53"/>
    </row>
    <row r="191" spans="2:15" ht="26.4" x14ac:dyDescent="0.25">
      <c r="B191" s="57" t="s">
        <v>695</v>
      </c>
      <c r="C191" s="22" t="s">
        <v>574</v>
      </c>
      <c r="D191" s="73">
        <v>190</v>
      </c>
      <c r="E191" s="23">
        <v>2025</v>
      </c>
      <c r="F191" s="24" t="s">
        <v>575</v>
      </c>
      <c r="G191" s="23"/>
      <c r="H191" s="33" t="s">
        <v>576</v>
      </c>
      <c r="I191" s="23" t="s">
        <v>577</v>
      </c>
      <c r="J191" s="23" t="s">
        <v>578</v>
      </c>
      <c r="K191" s="21">
        <v>224</v>
      </c>
      <c r="L191" s="83">
        <f>VLOOKUP(K191,'Tarifs 40%'!$B$4:$C$20,2,TRUE)</f>
        <v>13.6</v>
      </c>
      <c r="M191" s="45">
        <f t="shared" si="5"/>
        <v>5.44</v>
      </c>
      <c r="N191" s="36">
        <v>5.45</v>
      </c>
      <c r="O191" s="53"/>
    </row>
    <row r="192" spans="2:15" ht="26.4" x14ac:dyDescent="0.25">
      <c r="B192" s="57" t="s">
        <v>695</v>
      </c>
      <c r="C192" s="22" t="s">
        <v>579</v>
      </c>
      <c r="D192" s="73">
        <v>191</v>
      </c>
      <c r="E192" s="23">
        <v>2025</v>
      </c>
      <c r="F192" s="22" t="s">
        <v>653</v>
      </c>
      <c r="G192" s="23"/>
      <c r="H192" s="33" t="s">
        <v>28</v>
      </c>
      <c r="I192" s="23" t="s">
        <v>15</v>
      </c>
      <c r="J192" s="23" t="s">
        <v>580</v>
      </c>
      <c r="K192" s="21">
        <v>1313</v>
      </c>
      <c r="L192" s="83">
        <f>VLOOKUP(K192,'Tarifs 40%'!$B$4:$C$20,2,TRUE)</f>
        <v>54.4</v>
      </c>
      <c r="M192" s="45">
        <f t="shared" ref="M192:M197" si="6">L192*40/100</f>
        <v>21.76</v>
      </c>
      <c r="N192" s="36">
        <v>21.75</v>
      </c>
      <c r="O192" s="53"/>
    </row>
    <row r="193" spans="2:15" ht="26.4" x14ac:dyDescent="0.25">
      <c r="B193" s="57" t="s">
        <v>701</v>
      </c>
      <c r="C193" s="22" t="s">
        <v>581</v>
      </c>
      <c r="D193" s="73">
        <v>192</v>
      </c>
      <c r="E193" s="23">
        <v>2025</v>
      </c>
      <c r="F193" s="24" t="s">
        <v>582</v>
      </c>
      <c r="G193" s="23"/>
      <c r="H193" s="33" t="s">
        <v>28</v>
      </c>
      <c r="I193" s="23" t="s">
        <v>15</v>
      </c>
      <c r="J193" s="23" t="s">
        <v>583</v>
      </c>
      <c r="K193" s="21">
        <v>500</v>
      </c>
      <c r="L193" s="83">
        <f>VLOOKUP(K193,'Tarifs 40%'!$B$4:$C$20,2,TRUE)</f>
        <v>23.5</v>
      </c>
      <c r="M193" s="45">
        <f t="shared" si="6"/>
        <v>9.4</v>
      </c>
      <c r="N193" s="36">
        <v>9.4499999999999993</v>
      </c>
      <c r="O193" s="53"/>
    </row>
    <row r="194" spans="2:15" ht="26.4" x14ac:dyDescent="0.25">
      <c r="B194" s="57"/>
      <c r="C194" s="22" t="s">
        <v>584</v>
      </c>
      <c r="D194" s="73">
        <v>193</v>
      </c>
      <c r="E194" s="23">
        <v>2025</v>
      </c>
      <c r="F194" s="24" t="s">
        <v>628</v>
      </c>
      <c r="G194" s="23"/>
      <c r="H194" s="33" t="s">
        <v>629</v>
      </c>
      <c r="I194" s="23" t="s">
        <v>630</v>
      </c>
      <c r="J194" s="23" t="s">
        <v>585</v>
      </c>
      <c r="K194" s="21">
        <v>7449</v>
      </c>
      <c r="L194" s="85">
        <f>VLOOKUP(K194,'Tarifs 40%'!$B$4:$C$20,2,TRUE)</f>
        <v>93.3</v>
      </c>
      <c r="M194" s="45">
        <f t="shared" si="6"/>
        <v>37.32</v>
      </c>
      <c r="N194" s="61">
        <v>37.450000000000003</v>
      </c>
      <c r="O194" s="53"/>
    </row>
    <row r="195" spans="2:15" ht="26.4" x14ac:dyDescent="0.25">
      <c r="B195" s="57" t="s">
        <v>701</v>
      </c>
      <c r="C195" s="22" t="s">
        <v>586</v>
      </c>
      <c r="D195" s="73">
        <v>194</v>
      </c>
      <c r="E195" s="23">
        <v>2025</v>
      </c>
      <c r="F195" s="24" t="s">
        <v>587</v>
      </c>
      <c r="G195" s="23"/>
      <c r="H195" s="33" t="s">
        <v>9</v>
      </c>
      <c r="I195" s="23" t="s">
        <v>197</v>
      </c>
      <c r="J195" s="23" t="s">
        <v>588</v>
      </c>
      <c r="K195" s="21">
        <v>1615</v>
      </c>
      <c r="L195" s="83">
        <f>VLOOKUP(K195,'Tarifs 40%'!$B$4:$C$20,2,TRUE)</f>
        <v>60.7</v>
      </c>
      <c r="M195" s="45">
        <f t="shared" si="6"/>
        <v>24.28</v>
      </c>
      <c r="N195" s="36">
        <v>24.35</v>
      </c>
      <c r="O195" s="53"/>
    </row>
    <row r="196" spans="2:15" ht="26.4" x14ac:dyDescent="0.25">
      <c r="B196" s="57" t="s">
        <v>695</v>
      </c>
      <c r="C196" s="22" t="s">
        <v>589</v>
      </c>
      <c r="D196" s="73">
        <v>195</v>
      </c>
      <c r="E196" s="23">
        <v>2025</v>
      </c>
      <c r="F196" s="24" t="s">
        <v>590</v>
      </c>
      <c r="G196" s="23" t="s">
        <v>591</v>
      </c>
      <c r="H196" s="33" t="s">
        <v>47</v>
      </c>
      <c r="I196" s="23" t="s">
        <v>232</v>
      </c>
      <c r="J196" s="23" t="s">
        <v>592</v>
      </c>
      <c r="K196" s="21">
        <v>1672</v>
      </c>
      <c r="L196" s="83">
        <f>VLOOKUP(K196,'Tarifs 40%'!$B$4:$C$20,2,TRUE)</f>
        <v>60.7</v>
      </c>
      <c r="M196" s="45">
        <f t="shared" si="6"/>
        <v>24.28</v>
      </c>
      <c r="N196" s="36">
        <v>24.35</v>
      </c>
      <c r="O196" s="53"/>
    </row>
    <row r="197" spans="2:15" ht="15" x14ac:dyDescent="0.25">
      <c r="B197" s="57" t="s">
        <v>695</v>
      </c>
      <c r="C197" s="25" t="s">
        <v>593</v>
      </c>
      <c r="D197" s="73">
        <v>196</v>
      </c>
      <c r="E197" s="23">
        <v>2025</v>
      </c>
      <c r="F197" s="26" t="s">
        <v>594</v>
      </c>
      <c r="G197" s="27" t="s">
        <v>21</v>
      </c>
      <c r="H197" s="38" t="s">
        <v>9</v>
      </c>
      <c r="I197" s="27" t="s">
        <v>10</v>
      </c>
      <c r="J197" s="27" t="s">
        <v>595</v>
      </c>
      <c r="K197" s="28">
        <v>181</v>
      </c>
      <c r="L197" s="83">
        <f>VLOOKUP(K197,'Tarifs 40%'!$B$4:$C$20,2,TRUE)</f>
        <v>13.6</v>
      </c>
      <c r="M197" s="45">
        <f t="shared" si="6"/>
        <v>5.44</v>
      </c>
      <c r="N197" s="40">
        <v>5.45</v>
      </c>
      <c r="O197" s="54"/>
    </row>
    <row r="198" spans="2:15" ht="31.2" customHeight="1" thickBot="1" x14ac:dyDescent="0.3">
      <c r="B198" s="57"/>
      <c r="C198" s="74"/>
      <c r="D198" s="73"/>
      <c r="E198" s="23"/>
      <c r="F198" s="75"/>
      <c r="G198" s="27"/>
      <c r="H198" s="76"/>
      <c r="I198" s="87" t="s">
        <v>728</v>
      </c>
      <c r="J198" s="88"/>
      <c r="K198" s="80"/>
      <c r="L198" s="79">
        <f>SUM(L2:L197)</f>
        <v>8779.3000000000047</v>
      </c>
      <c r="M198" s="77"/>
      <c r="N198" s="78"/>
      <c r="O198" s="54"/>
    </row>
    <row r="199" spans="2:15" ht="15" x14ac:dyDescent="0.25">
      <c r="B199" s="57" t="s">
        <v>695</v>
      </c>
      <c r="C199" s="29" t="s">
        <v>598</v>
      </c>
      <c r="D199" s="73">
        <v>197</v>
      </c>
      <c r="E199" s="23">
        <v>2025</v>
      </c>
      <c r="F199" s="29" t="s">
        <v>599</v>
      </c>
      <c r="G199" s="23" t="s">
        <v>21</v>
      </c>
      <c r="H199" s="30" t="s">
        <v>9</v>
      </c>
      <c r="I199" s="32" t="s">
        <v>10</v>
      </c>
      <c r="J199" s="32"/>
      <c r="K199" s="31"/>
      <c r="L199" s="67">
        <v>77.5</v>
      </c>
      <c r="M199" s="41">
        <f t="shared" ref="M199:M204" si="7">L199*40/100</f>
        <v>31</v>
      </c>
      <c r="N199" s="42">
        <f>SUM(N2:N197)</f>
        <v>3530.7499999999927</v>
      </c>
      <c r="O199" s="53"/>
    </row>
    <row r="200" spans="2:15" ht="15" x14ac:dyDescent="0.25">
      <c r="B200" s="57" t="s">
        <v>695</v>
      </c>
      <c r="C200" s="22" t="s">
        <v>600</v>
      </c>
      <c r="D200" s="73">
        <v>198</v>
      </c>
      <c r="E200" s="23">
        <v>2025</v>
      </c>
      <c r="F200" s="22" t="s">
        <v>601</v>
      </c>
      <c r="G200" s="23" t="s">
        <v>611</v>
      </c>
      <c r="H200" s="33" t="s">
        <v>14</v>
      </c>
      <c r="I200" s="23" t="s">
        <v>15</v>
      </c>
      <c r="J200" s="23" t="s">
        <v>602</v>
      </c>
      <c r="K200" s="21"/>
      <c r="L200" s="67">
        <v>30</v>
      </c>
      <c r="M200" s="43">
        <f t="shared" si="7"/>
        <v>12</v>
      </c>
      <c r="N200" s="44"/>
      <c r="O200" s="53"/>
    </row>
    <row r="201" spans="2:15" ht="15" x14ac:dyDescent="0.25">
      <c r="B201" s="57" t="s">
        <v>695</v>
      </c>
      <c r="C201" s="22" t="s">
        <v>603</v>
      </c>
      <c r="D201" s="73">
        <v>199</v>
      </c>
      <c r="E201" s="23">
        <v>2025</v>
      </c>
      <c r="F201" s="22" t="s">
        <v>604</v>
      </c>
      <c r="G201" s="23" t="s">
        <v>612</v>
      </c>
      <c r="H201" s="33" t="s">
        <v>14</v>
      </c>
      <c r="I201" s="23" t="s">
        <v>15</v>
      </c>
      <c r="J201" s="23"/>
      <c r="K201" s="21"/>
      <c r="L201" s="67">
        <v>30</v>
      </c>
      <c r="M201" s="43">
        <f t="shared" si="7"/>
        <v>12</v>
      </c>
      <c r="N201" s="44"/>
      <c r="O201" s="53"/>
    </row>
    <row r="202" spans="2:15" ht="15" x14ac:dyDescent="0.25">
      <c r="B202" s="57" t="s">
        <v>695</v>
      </c>
      <c r="C202" s="22" t="s">
        <v>605</v>
      </c>
      <c r="D202" s="73">
        <v>200</v>
      </c>
      <c r="E202" s="23">
        <v>2025</v>
      </c>
      <c r="F202" s="22" t="s">
        <v>606</v>
      </c>
      <c r="G202" s="23" t="s">
        <v>21</v>
      </c>
      <c r="H202" s="33" t="s">
        <v>9</v>
      </c>
      <c r="I202" s="35" t="s">
        <v>10</v>
      </c>
      <c r="J202" s="23"/>
      <c r="K202" s="21"/>
      <c r="L202" s="67">
        <v>30</v>
      </c>
      <c r="M202" s="43">
        <f t="shared" si="7"/>
        <v>12</v>
      </c>
      <c r="N202" s="44"/>
      <c r="O202" s="53"/>
    </row>
    <row r="203" spans="2:15" ht="15" x14ac:dyDescent="0.25">
      <c r="B203" s="57" t="s">
        <v>695</v>
      </c>
      <c r="C203" s="22" t="s">
        <v>607</v>
      </c>
      <c r="D203" s="73">
        <v>201</v>
      </c>
      <c r="E203" s="23">
        <v>2025</v>
      </c>
      <c r="F203" s="22" t="s">
        <v>608</v>
      </c>
      <c r="G203" s="23" t="s">
        <v>591</v>
      </c>
      <c r="H203" s="33" t="s">
        <v>9</v>
      </c>
      <c r="I203" s="35" t="s">
        <v>10</v>
      </c>
      <c r="J203" s="23"/>
      <c r="K203" s="21"/>
      <c r="L203" s="67">
        <v>30</v>
      </c>
      <c r="M203" s="43">
        <f t="shared" si="7"/>
        <v>12</v>
      </c>
      <c r="N203" s="44"/>
      <c r="O203" s="53"/>
    </row>
    <row r="204" spans="2:15" ht="15" x14ac:dyDescent="0.25">
      <c r="B204" s="57" t="s">
        <v>695</v>
      </c>
      <c r="C204" s="22" t="s">
        <v>609</v>
      </c>
      <c r="D204" s="73">
        <v>202</v>
      </c>
      <c r="E204" s="23">
        <v>2025</v>
      </c>
      <c r="F204" s="22" t="s">
        <v>610</v>
      </c>
      <c r="G204" s="23" t="s">
        <v>591</v>
      </c>
      <c r="H204" s="33" t="s">
        <v>9</v>
      </c>
      <c r="I204" s="35" t="s">
        <v>10</v>
      </c>
      <c r="J204" s="23"/>
      <c r="K204" s="21"/>
      <c r="L204" s="67">
        <v>30</v>
      </c>
      <c r="M204" s="43">
        <f t="shared" si="7"/>
        <v>12</v>
      </c>
      <c r="N204" s="44"/>
      <c r="O204" s="53"/>
    </row>
    <row r="205" spans="2:15" ht="15.6" thickBot="1" x14ac:dyDescent="0.3">
      <c r="C205" s="22"/>
      <c r="D205" s="23"/>
      <c r="E205" s="21"/>
      <c r="F205" s="34"/>
      <c r="G205" s="23"/>
      <c r="H205" s="39"/>
      <c r="I205" s="23"/>
      <c r="J205" s="23"/>
      <c r="K205" s="37"/>
      <c r="L205" s="67"/>
      <c r="M205" s="46">
        <f>SUM(M199:M204)</f>
        <v>91</v>
      </c>
      <c r="N205" s="45"/>
      <c r="O205" s="55"/>
    </row>
  </sheetData>
  <autoFilter ref="C1:O205" xr:uid="{00000000-0009-0000-0000-000000000000}"/>
  <sortState xmlns:xlrd2="http://schemas.microsoft.com/office/spreadsheetml/2017/richdata2" ref="C2:O197">
    <sortCondition ref="C2:C197"/>
  </sortState>
  <mergeCells count="1">
    <mergeCell ref="I198:J198"/>
  </mergeCells>
  <printOptions headings="1"/>
  <pageMargins left="0.25" right="0.25" top="0.75" bottom="0.75" header="0.3" footer="0.3"/>
  <pageSetup paperSize="9" orientation="landscape" r:id="rId1"/>
  <headerFooter>
    <oddHeader>&amp;C&amp;P</oddHeader>
    <oddFooter>&amp;L&amp;P&amp;C&amp;P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208"/>
  <sheetViews>
    <sheetView topLeftCell="A201" workbookViewId="0">
      <selection activeCell="B209" sqref="B209"/>
    </sheetView>
  </sheetViews>
  <sheetFormatPr baseColWidth="10" defaultColWidth="11.44140625" defaultRowHeight="13.2" x14ac:dyDescent="0.25"/>
  <cols>
    <col min="1" max="1" width="5.88671875" customWidth="1"/>
    <col min="2" max="2" width="38.88671875" style="7" customWidth="1"/>
    <col min="3" max="3" width="22.33203125" style="9" customWidth="1"/>
    <col min="4" max="4" width="29.6640625" customWidth="1"/>
  </cols>
  <sheetData>
    <row r="1" spans="2:4" ht="41.7" customHeight="1" thickBot="1" x14ac:dyDescent="0.35">
      <c r="B1" s="89" t="s">
        <v>690</v>
      </c>
      <c r="C1" s="90"/>
      <c r="D1" s="91"/>
    </row>
    <row r="2" spans="2:4" ht="30" customHeight="1" thickBot="1" x14ac:dyDescent="0.3">
      <c r="B2" s="5" t="s">
        <v>0</v>
      </c>
      <c r="C2" s="8" t="s">
        <v>4</v>
      </c>
      <c r="D2" s="5" t="s">
        <v>613</v>
      </c>
    </row>
    <row r="3" spans="2:4" ht="40.200000000000003" customHeight="1" x14ac:dyDescent="0.25">
      <c r="B3" s="22" t="s">
        <v>7</v>
      </c>
      <c r="C3" s="23" t="s">
        <v>10</v>
      </c>
      <c r="D3" s="4"/>
    </row>
    <row r="4" spans="2:4" ht="40.200000000000003" customHeight="1" x14ac:dyDescent="0.25">
      <c r="B4" s="22" t="s">
        <v>683</v>
      </c>
      <c r="C4" s="23" t="s">
        <v>15</v>
      </c>
      <c r="D4" s="3"/>
    </row>
    <row r="5" spans="2:4" ht="40.200000000000003" customHeight="1" x14ac:dyDescent="0.25">
      <c r="B5" s="22" t="s">
        <v>17</v>
      </c>
      <c r="C5" s="23" t="s">
        <v>380</v>
      </c>
      <c r="D5" s="3"/>
    </row>
    <row r="6" spans="2:4" ht="40.200000000000003" customHeight="1" x14ac:dyDescent="0.25">
      <c r="B6" s="22" t="s">
        <v>19</v>
      </c>
      <c r="C6" s="23" t="s">
        <v>10</v>
      </c>
      <c r="D6" s="3"/>
    </row>
    <row r="7" spans="2:4" ht="40.200000000000003" customHeight="1" x14ac:dyDescent="0.25">
      <c r="B7" s="22" t="s">
        <v>23</v>
      </c>
      <c r="C7" s="23" t="s">
        <v>10</v>
      </c>
      <c r="D7" s="3"/>
    </row>
    <row r="8" spans="2:4" ht="40.200000000000003" customHeight="1" x14ac:dyDescent="0.25">
      <c r="B8" s="22" t="s">
        <v>596</v>
      </c>
      <c r="C8" s="23" t="s">
        <v>15</v>
      </c>
      <c r="D8" s="3"/>
    </row>
    <row r="9" spans="2:4" ht="40.200000000000003" customHeight="1" x14ac:dyDescent="0.25">
      <c r="B9" s="22" t="s">
        <v>26</v>
      </c>
      <c r="C9" s="23" t="s">
        <v>15</v>
      </c>
      <c r="D9" s="3"/>
    </row>
    <row r="10" spans="2:4" ht="40.200000000000003" customHeight="1" x14ac:dyDescent="0.25">
      <c r="B10" s="22" t="s">
        <v>30</v>
      </c>
      <c r="C10" s="23" t="s">
        <v>10</v>
      </c>
      <c r="D10" s="3"/>
    </row>
    <row r="11" spans="2:4" ht="40.200000000000003" customHeight="1" x14ac:dyDescent="0.25">
      <c r="B11" s="22" t="s">
        <v>34</v>
      </c>
      <c r="C11" s="23" t="s">
        <v>10</v>
      </c>
      <c r="D11" s="3"/>
    </row>
    <row r="12" spans="2:4" ht="40.200000000000003" customHeight="1" x14ac:dyDescent="0.25">
      <c r="B12" s="22" t="s">
        <v>37</v>
      </c>
      <c r="C12" s="23" t="s">
        <v>10</v>
      </c>
      <c r="D12" s="3"/>
    </row>
    <row r="13" spans="2:4" ht="40.200000000000003" customHeight="1" x14ac:dyDescent="0.25">
      <c r="B13" s="22" t="s">
        <v>40</v>
      </c>
      <c r="C13" s="23" t="s">
        <v>15</v>
      </c>
      <c r="D13" s="3"/>
    </row>
    <row r="14" spans="2:4" ht="40.200000000000003" customHeight="1" x14ac:dyDescent="0.25">
      <c r="B14" s="22" t="s">
        <v>44</v>
      </c>
      <c r="C14" s="23" t="s">
        <v>48</v>
      </c>
      <c r="D14" s="3"/>
    </row>
    <row r="15" spans="2:4" ht="40.200000000000003" customHeight="1" x14ac:dyDescent="0.25">
      <c r="B15" s="22" t="s">
        <v>49</v>
      </c>
      <c r="C15" s="23" t="s">
        <v>52</v>
      </c>
      <c r="D15" s="3"/>
    </row>
    <row r="16" spans="2:4" ht="40.200000000000003" customHeight="1" x14ac:dyDescent="0.25">
      <c r="B16" s="22" t="s">
        <v>54</v>
      </c>
      <c r="C16" s="23" t="s">
        <v>10</v>
      </c>
      <c r="D16" s="3"/>
    </row>
    <row r="17" spans="2:4" ht="40.200000000000003" customHeight="1" x14ac:dyDescent="0.25">
      <c r="B17" s="22" t="s">
        <v>57</v>
      </c>
      <c r="C17" s="23" t="s">
        <v>10</v>
      </c>
      <c r="D17" s="3"/>
    </row>
    <row r="18" spans="2:4" ht="40.200000000000003" customHeight="1" x14ac:dyDescent="0.25">
      <c r="B18" s="22" t="s">
        <v>60</v>
      </c>
      <c r="C18" s="23" t="s">
        <v>10</v>
      </c>
      <c r="D18" s="3"/>
    </row>
    <row r="19" spans="2:4" ht="40.200000000000003" customHeight="1" x14ac:dyDescent="0.25">
      <c r="B19" s="22" t="s">
        <v>63</v>
      </c>
      <c r="C19" s="23" t="s">
        <v>15</v>
      </c>
      <c r="D19" s="3"/>
    </row>
    <row r="20" spans="2:4" ht="40.200000000000003" customHeight="1" x14ac:dyDescent="0.25">
      <c r="B20" s="22" t="s">
        <v>656</v>
      </c>
      <c r="C20" s="23" t="s">
        <v>10</v>
      </c>
      <c r="D20" s="3"/>
    </row>
    <row r="21" spans="2:4" ht="40.200000000000003" customHeight="1" x14ac:dyDescent="0.25">
      <c r="B21" s="22" t="s">
        <v>70</v>
      </c>
      <c r="C21" s="23" t="s">
        <v>10</v>
      </c>
      <c r="D21" s="3"/>
    </row>
    <row r="22" spans="2:4" ht="40.200000000000003" customHeight="1" x14ac:dyDescent="0.25">
      <c r="B22" s="22" t="s">
        <v>657</v>
      </c>
      <c r="C22" s="23" t="s">
        <v>10</v>
      </c>
      <c r="D22" s="3"/>
    </row>
    <row r="23" spans="2:4" ht="40.200000000000003" customHeight="1" x14ac:dyDescent="0.25">
      <c r="B23" s="22" t="s">
        <v>76</v>
      </c>
      <c r="C23" s="23" t="s">
        <v>79</v>
      </c>
      <c r="D23" s="3"/>
    </row>
    <row r="24" spans="2:4" ht="40.200000000000003" customHeight="1" x14ac:dyDescent="0.25">
      <c r="B24" s="22" t="s">
        <v>81</v>
      </c>
      <c r="C24" s="23" t="s">
        <v>10</v>
      </c>
      <c r="D24" s="3"/>
    </row>
    <row r="25" spans="2:4" ht="40.200000000000003" customHeight="1" x14ac:dyDescent="0.25">
      <c r="B25" s="22" t="s">
        <v>85</v>
      </c>
      <c r="C25" s="23" t="s">
        <v>15</v>
      </c>
      <c r="D25" s="3"/>
    </row>
    <row r="26" spans="2:4" ht="40.200000000000003" customHeight="1" x14ac:dyDescent="0.25">
      <c r="B26" s="22" t="s">
        <v>88</v>
      </c>
      <c r="C26" s="23" t="s">
        <v>92</v>
      </c>
      <c r="D26" s="3"/>
    </row>
    <row r="27" spans="2:4" ht="40.200000000000003" customHeight="1" x14ac:dyDescent="0.25">
      <c r="B27" s="22" t="s">
        <v>94</v>
      </c>
      <c r="C27" s="23" t="s">
        <v>10</v>
      </c>
      <c r="D27" s="3"/>
    </row>
    <row r="28" spans="2:4" ht="40.200000000000003" customHeight="1" x14ac:dyDescent="0.25">
      <c r="B28" s="22" t="s">
        <v>97</v>
      </c>
      <c r="C28" s="23" t="s">
        <v>10</v>
      </c>
      <c r="D28" s="3"/>
    </row>
    <row r="29" spans="2:4" ht="40.200000000000003" customHeight="1" x14ac:dyDescent="0.25">
      <c r="B29" s="22" t="s">
        <v>101</v>
      </c>
      <c r="C29" s="23" t="s">
        <v>197</v>
      </c>
      <c r="D29" s="3"/>
    </row>
    <row r="30" spans="2:4" ht="40.200000000000003" customHeight="1" x14ac:dyDescent="0.25">
      <c r="B30" s="22" t="s">
        <v>103</v>
      </c>
      <c r="C30" s="23" t="s">
        <v>10</v>
      </c>
      <c r="D30" s="3"/>
    </row>
    <row r="31" spans="2:4" ht="40.200000000000003" customHeight="1" x14ac:dyDescent="0.25">
      <c r="B31" s="22" t="s">
        <v>106</v>
      </c>
      <c r="C31" s="23" t="s">
        <v>15</v>
      </c>
      <c r="D31" s="3"/>
    </row>
    <row r="32" spans="2:4" ht="40.200000000000003" customHeight="1" x14ac:dyDescent="0.25">
      <c r="B32" s="22" t="s">
        <v>108</v>
      </c>
      <c r="C32" s="23" t="s">
        <v>92</v>
      </c>
      <c r="D32" s="3"/>
    </row>
    <row r="33" spans="2:4" ht="40.200000000000003" customHeight="1" x14ac:dyDescent="0.25">
      <c r="B33" s="22" t="s">
        <v>111</v>
      </c>
      <c r="C33" s="23" t="s">
        <v>10</v>
      </c>
      <c r="D33" s="3"/>
    </row>
    <row r="34" spans="2:4" ht="40.200000000000003" customHeight="1" x14ac:dyDescent="0.25">
      <c r="B34" s="22" t="s">
        <v>114</v>
      </c>
      <c r="C34" s="23" t="s">
        <v>15</v>
      </c>
      <c r="D34" s="3"/>
    </row>
    <row r="35" spans="2:4" ht="40.200000000000003" customHeight="1" x14ac:dyDescent="0.25">
      <c r="B35" s="22" t="s">
        <v>633</v>
      </c>
      <c r="C35" s="23" t="s">
        <v>15</v>
      </c>
      <c r="D35" s="3"/>
    </row>
    <row r="36" spans="2:4" ht="40.200000000000003" customHeight="1" x14ac:dyDescent="0.25">
      <c r="B36" s="22" t="s">
        <v>117</v>
      </c>
      <c r="C36" s="23" t="s">
        <v>10</v>
      </c>
      <c r="D36" s="3"/>
    </row>
    <row r="37" spans="2:4" ht="40.200000000000003" customHeight="1" x14ac:dyDescent="0.25">
      <c r="B37" s="22" t="s">
        <v>120</v>
      </c>
      <c r="C37" s="23" t="s">
        <v>92</v>
      </c>
      <c r="D37" s="3"/>
    </row>
    <row r="38" spans="2:4" ht="40.200000000000003" customHeight="1" x14ac:dyDescent="0.25">
      <c r="B38" s="22" t="s">
        <v>123</v>
      </c>
      <c r="C38" s="23" t="s">
        <v>125</v>
      </c>
      <c r="D38" s="3"/>
    </row>
    <row r="39" spans="2:4" ht="40.200000000000003" customHeight="1" x14ac:dyDescent="0.25">
      <c r="B39" s="22" t="s">
        <v>127</v>
      </c>
      <c r="C39" s="23" t="s">
        <v>130</v>
      </c>
      <c r="D39" s="3"/>
    </row>
    <row r="40" spans="2:4" ht="40.200000000000003" customHeight="1" x14ac:dyDescent="0.25">
      <c r="B40" s="22" t="s">
        <v>132</v>
      </c>
      <c r="C40" s="23" t="s">
        <v>15</v>
      </c>
      <c r="D40" s="3"/>
    </row>
    <row r="41" spans="2:4" ht="40.200000000000003" customHeight="1" x14ac:dyDescent="0.25">
      <c r="B41" s="22" t="s">
        <v>135</v>
      </c>
      <c r="C41" s="23" t="s">
        <v>10</v>
      </c>
      <c r="D41" s="3"/>
    </row>
    <row r="42" spans="2:4" ht="40.200000000000003" customHeight="1" x14ac:dyDescent="0.25">
      <c r="B42" s="22" t="s">
        <v>138</v>
      </c>
      <c r="C42" s="23" t="s">
        <v>10</v>
      </c>
      <c r="D42" s="3"/>
    </row>
    <row r="43" spans="2:4" ht="40.200000000000003" customHeight="1" x14ac:dyDescent="0.25">
      <c r="B43" s="22" t="s">
        <v>141</v>
      </c>
      <c r="C43" s="23" t="s">
        <v>10</v>
      </c>
      <c r="D43" s="3"/>
    </row>
    <row r="44" spans="2:4" ht="40.200000000000003" customHeight="1" x14ac:dyDescent="0.25">
      <c r="B44" s="22" t="s">
        <v>145</v>
      </c>
      <c r="C44" s="23" t="s">
        <v>15</v>
      </c>
      <c r="D44" s="3"/>
    </row>
    <row r="45" spans="2:4" ht="40.200000000000003" customHeight="1" x14ac:dyDescent="0.25">
      <c r="B45" s="22" t="s">
        <v>147</v>
      </c>
      <c r="C45" s="23" t="s">
        <v>10</v>
      </c>
      <c r="D45" s="3"/>
    </row>
    <row r="46" spans="2:4" ht="40.200000000000003" customHeight="1" x14ac:dyDescent="0.25">
      <c r="B46" s="22" t="s">
        <v>150</v>
      </c>
      <c r="C46" s="23" t="s">
        <v>10</v>
      </c>
      <c r="D46" s="3"/>
    </row>
    <row r="47" spans="2:4" ht="40.200000000000003" customHeight="1" x14ac:dyDescent="0.25">
      <c r="B47" s="22" t="s">
        <v>153</v>
      </c>
      <c r="C47" s="23" t="s">
        <v>15</v>
      </c>
      <c r="D47" s="3"/>
    </row>
    <row r="48" spans="2:4" ht="40.200000000000003" customHeight="1" x14ac:dyDescent="0.25">
      <c r="B48" s="22" t="s">
        <v>156</v>
      </c>
      <c r="C48" s="23" t="s">
        <v>158</v>
      </c>
      <c r="D48" s="3"/>
    </row>
    <row r="49" spans="2:4" ht="40.200000000000003" customHeight="1" x14ac:dyDescent="0.25">
      <c r="B49" s="22" t="s">
        <v>160</v>
      </c>
      <c r="C49" s="23" t="s">
        <v>15</v>
      </c>
      <c r="D49" s="3"/>
    </row>
    <row r="50" spans="2:4" ht="40.200000000000003" customHeight="1" x14ac:dyDescent="0.25">
      <c r="B50" s="22" t="s">
        <v>162</v>
      </c>
      <c r="C50" s="23" t="s">
        <v>10</v>
      </c>
      <c r="D50" s="3"/>
    </row>
    <row r="51" spans="2:4" ht="40.200000000000003" customHeight="1" x14ac:dyDescent="0.25">
      <c r="B51" s="22" t="s">
        <v>165</v>
      </c>
      <c r="C51" s="23" t="s">
        <v>10</v>
      </c>
      <c r="D51" s="3"/>
    </row>
    <row r="52" spans="2:4" ht="40.200000000000003" customHeight="1" x14ac:dyDescent="0.25">
      <c r="B52" s="22" t="s">
        <v>168</v>
      </c>
      <c r="C52" s="23" t="s">
        <v>170</v>
      </c>
      <c r="D52" s="3"/>
    </row>
    <row r="53" spans="2:4" ht="40.200000000000003" customHeight="1" x14ac:dyDescent="0.25">
      <c r="B53" s="22" t="s">
        <v>172</v>
      </c>
      <c r="C53" s="23" t="s">
        <v>10</v>
      </c>
      <c r="D53" s="3"/>
    </row>
    <row r="54" spans="2:4" ht="40.200000000000003" customHeight="1" x14ac:dyDescent="0.25">
      <c r="B54" s="22" t="s">
        <v>175</v>
      </c>
      <c r="C54" s="23" t="s">
        <v>10</v>
      </c>
      <c r="D54" s="3"/>
    </row>
    <row r="55" spans="2:4" ht="40.200000000000003" customHeight="1" x14ac:dyDescent="0.25">
      <c r="B55" s="22" t="s">
        <v>179</v>
      </c>
      <c r="C55" s="23" t="s">
        <v>182</v>
      </c>
      <c r="D55" s="3"/>
    </row>
    <row r="56" spans="2:4" ht="40.200000000000003" customHeight="1" x14ac:dyDescent="0.25">
      <c r="B56" s="22" t="s">
        <v>184</v>
      </c>
      <c r="C56" s="23" t="s">
        <v>10</v>
      </c>
      <c r="D56" s="3"/>
    </row>
    <row r="57" spans="2:4" ht="40.200000000000003" customHeight="1" x14ac:dyDescent="0.25">
      <c r="B57" s="22" t="s">
        <v>187</v>
      </c>
      <c r="C57" s="23" t="s">
        <v>190</v>
      </c>
      <c r="D57" s="3"/>
    </row>
    <row r="58" spans="2:4" ht="40.200000000000003" customHeight="1" x14ac:dyDescent="0.25">
      <c r="B58" s="22" t="s">
        <v>192</v>
      </c>
      <c r="C58" s="23" t="s">
        <v>10</v>
      </c>
      <c r="D58" s="3"/>
    </row>
    <row r="59" spans="2:4" ht="40.200000000000003" customHeight="1" x14ac:dyDescent="0.25">
      <c r="B59" s="22" t="s">
        <v>195</v>
      </c>
      <c r="C59" s="23" t="s">
        <v>197</v>
      </c>
      <c r="D59" s="3"/>
    </row>
    <row r="60" spans="2:4" ht="40.200000000000003" customHeight="1" x14ac:dyDescent="0.25">
      <c r="B60" s="22" t="s">
        <v>199</v>
      </c>
      <c r="C60" s="23" t="s">
        <v>15</v>
      </c>
      <c r="D60" s="3"/>
    </row>
    <row r="61" spans="2:4" ht="40.200000000000003" customHeight="1" x14ac:dyDescent="0.25">
      <c r="B61" s="22" t="s">
        <v>202</v>
      </c>
      <c r="C61" s="23" t="s">
        <v>15</v>
      </c>
      <c r="D61" s="3"/>
    </row>
    <row r="62" spans="2:4" ht="40.200000000000003" customHeight="1" x14ac:dyDescent="0.25">
      <c r="B62" s="22" t="s">
        <v>205</v>
      </c>
      <c r="C62" s="23" t="s">
        <v>10</v>
      </c>
      <c r="D62" s="3"/>
    </row>
    <row r="63" spans="2:4" ht="40.200000000000003" customHeight="1" x14ac:dyDescent="0.25">
      <c r="B63" s="22" t="s">
        <v>208</v>
      </c>
      <c r="C63" s="23" t="s">
        <v>211</v>
      </c>
      <c r="D63" s="3"/>
    </row>
    <row r="64" spans="2:4" ht="40.200000000000003" customHeight="1" x14ac:dyDescent="0.25">
      <c r="B64" s="22" t="s">
        <v>213</v>
      </c>
      <c r="C64" s="23" t="s">
        <v>10</v>
      </c>
      <c r="D64" s="3"/>
    </row>
    <row r="65" spans="2:4" ht="40.200000000000003" customHeight="1" x14ac:dyDescent="0.25">
      <c r="B65" s="22" t="s">
        <v>216</v>
      </c>
      <c r="C65" s="23" t="s">
        <v>218</v>
      </c>
      <c r="D65" s="3"/>
    </row>
    <row r="66" spans="2:4" ht="40.200000000000003" customHeight="1" x14ac:dyDescent="0.25">
      <c r="B66" s="22" t="s">
        <v>220</v>
      </c>
      <c r="C66" s="23" t="s">
        <v>15</v>
      </c>
      <c r="D66" s="3"/>
    </row>
    <row r="67" spans="2:4" ht="40.200000000000003" customHeight="1" x14ac:dyDescent="0.25">
      <c r="B67" s="22" t="s">
        <v>223</v>
      </c>
      <c r="C67" s="23" t="s">
        <v>226</v>
      </c>
      <c r="D67" s="3"/>
    </row>
    <row r="68" spans="2:4" ht="40.200000000000003" customHeight="1" x14ac:dyDescent="0.25">
      <c r="B68" s="22" t="s">
        <v>228</v>
      </c>
      <c r="C68" s="23" t="s">
        <v>15</v>
      </c>
      <c r="D68" s="3"/>
    </row>
    <row r="69" spans="2:4" ht="40.200000000000003" customHeight="1" x14ac:dyDescent="0.25">
      <c r="B69" s="22" t="s">
        <v>231</v>
      </c>
      <c r="C69" s="23" t="s">
        <v>232</v>
      </c>
      <c r="D69" s="3"/>
    </row>
    <row r="70" spans="2:4" ht="40.200000000000003" customHeight="1" x14ac:dyDescent="0.25">
      <c r="B70" s="22" t="s">
        <v>233</v>
      </c>
      <c r="C70" s="23" t="s">
        <v>10</v>
      </c>
      <c r="D70" s="3"/>
    </row>
    <row r="71" spans="2:4" ht="40.200000000000003" customHeight="1" x14ac:dyDescent="0.25">
      <c r="B71" s="22" t="s">
        <v>236</v>
      </c>
      <c r="C71" s="23" t="s">
        <v>10</v>
      </c>
      <c r="D71" s="3"/>
    </row>
    <row r="72" spans="2:4" ht="40.200000000000003" customHeight="1" x14ac:dyDescent="0.25">
      <c r="B72" s="22" t="s">
        <v>660</v>
      </c>
      <c r="C72" s="23" t="s">
        <v>10</v>
      </c>
      <c r="D72" s="3"/>
    </row>
    <row r="73" spans="2:4" ht="40.200000000000003" customHeight="1" x14ac:dyDescent="0.25">
      <c r="B73" s="22" t="s">
        <v>238</v>
      </c>
      <c r="C73" s="23" t="s">
        <v>10</v>
      </c>
      <c r="D73" s="3"/>
    </row>
    <row r="74" spans="2:4" ht="40.200000000000003" customHeight="1" x14ac:dyDescent="0.25">
      <c r="B74" s="22" t="s">
        <v>241</v>
      </c>
      <c r="C74" s="23" t="s">
        <v>10</v>
      </c>
      <c r="D74" s="3"/>
    </row>
    <row r="75" spans="2:4" ht="40.200000000000003" customHeight="1" x14ac:dyDescent="0.25">
      <c r="B75" s="22" t="s">
        <v>244</v>
      </c>
      <c r="C75" s="23" t="s">
        <v>10</v>
      </c>
      <c r="D75" s="3"/>
    </row>
    <row r="76" spans="2:4" ht="40.200000000000003" customHeight="1" x14ac:dyDescent="0.25">
      <c r="B76" s="22" t="s">
        <v>247</v>
      </c>
      <c r="C76" s="23" t="s">
        <v>10</v>
      </c>
      <c r="D76" s="3"/>
    </row>
    <row r="77" spans="2:4" ht="40.200000000000003" customHeight="1" x14ac:dyDescent="0.25">
      <c r="B77" s="22" t="s">
        <v>251</v>
      </c>
      <c r="C77" s="23" t="s">
        <v>10</v>
      </c>
      <c r="D77" s="3"/>
    </row>
    <row r="78" spans="2:4" ht="40.200000000000003" customHeight="1" x14ac:dyDescent="0.25">
      <c r="B78" s="22" t="s">
        <v>254</v>
      </c>
      <c r="C78" s="23" t="s">
        <v>10</v>
      </c>
      <c r="D78" s="3"/>
    </row>
    <row r="79" spans="2:4" ht="40.200000000000003" customHeight="1" x14ac:dyDescent="0.25">
      <c r="B79" s="22" t="s">
        <v>256</v>
      </c>
      <c r="C79" s="23" t="s">
        <v>10</v>
      </c>
      <c r="D79" s="3"/>
    </row>
    <row r="80" spans="2:4" ht="40.200000000000003" customHeight="1" x14ac:dyDescent="0.25">
      <c r="B80" s="22" t="s">
        <v>259</v>
      </c>
      <c r="C80" s="23" t="s">
        <v>10</v>
      </c>
      <c r="D80" s="3"/>
    </row>
    <row r="81" spans="2:4" ht="40.200000000000003" customHeight="1" x14ac:dyDescent="0.25">
      <c r="B81" s="22" t="s">
        <v>261</v>
      </c>
      <c r="C81" s="23" t="s">
        <v>15</v>
      </c>
      <c r="D81" s="3"/>
    </row>
    <row r="82" spans="2:4" ht="40.200000000000003" customHeight="1" x14ac:dyDescent="0.25">
      <c r="B82" s="22" t="s">
        <v>264</v>
      </c>
      <c r="C82" s="23" t="s">
        <v>10</v>
      </c>
      <c r="D82" s="3"/>
    </row>
    <row r="83" spans="2:4" ht="40.200000000000003" customHeight="1" x14ac:dyDescent="0.25">
      <c r="B83" s="22" t="s">
        <v>267</v>
      </c>
      <c r="C83" s="23" t="s">
        <v>15</v>
      </c>
      <c r="D83" s="3"/>
    </row>
    <row r="84" spans="2:4" ht="40.200000000000003" customHeight="1" x14ac:dyDescent="0.25">
      <c r="B84" s="22" t="s">
        <v>270</v>
      </c>
      <c r="C84" s="23" t="s">
        <v>52</v>
      </c>
      <c r="D84" s="3"/>
    </row>
    <row r="85" spans="2:4" ht="40.200000000000003" customHeight="1" x14ac:dyDescent="0.25">
      <c r="B85" s="22" t="s">
        <v>272</v>
      </c>
      <c r="C85" s="23" t="s">
        <v>15</v>
      </c>
      <c r="D85" s="3"/>
    </row>
    <row r="86" spans="2:4" ht="40.200000000000003" customHeight="1" x14ac:dyDescent="0.25">
      <c r="B86" s="22" t="s">
        <v>276</v>
      </c>
      <c r="C86" s="23" t="s">
        <v>279</v>
      </c>
      <c r="D86" s="3"/>
    </row>
    <row r="87" spans="2:4" ht="40.200000000000003" customHeight="1" x14ac:dyDescent="0.25">
      <c r="B87" s="22" t="s">
        <v>281</v>
      </c>
      <c r="C87" s="23" t="s">
        <v>10</v>
      </c>
      <c r="D87" s="3"/>
    </row>
    <row r="88" spans="2:4" ht="40.200000000000003" customHeight="1" x14ac:dyDescent="0.25">
      <c r="B88" s="22" t="s">
        <v>284</v>
      </c>
      <c r="C88" s="23" t="s">
        <v>10</v>
      </c>
      <c r="D88" s="3"/>
    </row>
    <row r="89" spans="2:4" ht="40.200000000000003" customHeight="1" x14ac:dyDescent="0.25">
      <c r="B89" s="22" t="s">
        <v>287</v>
      </c>
      <c r="C89" s="23" t="s">
        <v>289</v>
      </c>
      <c r="D89" s="3"/>
    </row>
    <row r="90" spans="2:4" ht="40.200000000000003" customHeight="1" x14ac:dyDescent="0.25">
      <c r="B90" s="22" t="s">
        <v>684</v>
      </c>
      <c r="C90" s="23" t="s">
        <v>10</v>
      </c>
      <c r="D90" s="3"/>
    </row>
    <row r="91" spans="2:4" ht="40.200000000000003" customHeight="1" x14ac:dyDescent="0.25">
      <c r="B91" s="22" t="s">
        <v>292</v>
      </c>
      <c r="C91" s="23" t="s">
        <v>10</v>
      </c>
      <c r="D91" s="3"/>
    </row>
    <row r="92" spans="2:4" ht="40.200000000000003" customHeight="1" x14ac:dyDescent="0.25">
      <c r="B92" s="22" t="s">
        <v>295</v>
      </c>
      <c r="C92" s="23" t="s">
        <v>10</v>
      </c>
      <c r="D92" s="3"/>
    </row>
    <row r="93" spans="2:4" ht="40.200000000000003" customHeight="1" x14ac:dyDescent="0.25">
      <c r="B93" s="22" t="s">
        <v>298</v>
      </c>
      <c r="C93" s="23" t="s">
        <v>10</v>
      </c>
      <c r="D93" s="3"/>
    </row>
    <row r="94" spans="2:4" ht="40.200000000000003" customHeight="1" x14ac:dyDescent="0.25">
      <c r="B94" s="22" t="s">
        <v>302</v>
      </c>
      <c r="C94" s="23" t="s">
        <v>10</v>
      </c>
      <c r="D94" s="3"/>
    </row>
    <row r="95" spans="2:4" ht="40.200000000000003" customHeight="1" x14ac:dyDescent="0.25">
      <c r="B95" s="22" t="s">
        <v>686</v>
      </c>
      <c r="C95" s="23" t="s">
        <v>10</v>
      </c>
      <c r="D95" s="3"/>
    </row>
    <row r="96" spans="2:4" ht="40.200000000000003" customHeight="1" x14ac:dyDescent="0.25">
      <c r="B96" s="22" t="s">
        <v>305</v>
      </c>
      <c r="C96" s="23" t="s">
        <v>10</v>
      </c>
      <c r="D96" s="3"/>
    </row>
    <row r="97" spans="2:4" ht="40.200000000000003" customHeight="1" x14ac:dyDescent="0.25">
      <c r="B97" s="22" t="s">
        <v>636</v>
      </c>
      <c r="C97" s="23" t="s">
        <v>15</v>
      </c>
      <c r="D97" s="3"/>
    </row>
    <row r="98" spans="2:4" ht="40.200000000000003" customHeight="1" x14ac:dyDescent="0.25">
      <c r="B98" s="22" t="s">
        <v>308</v>
      </c>
      <c r="C98" s="23" t="s">
        <v>311</v>
      </c>
      <c r="D98" s="3"/>
    </row>
    <row r="99" spans="2:4" ht="40.200000000000003" customHeight="1" x14ac:dyDescent="0.25">
      <c r="B99" s="22" t="s">
        <v>313</v>
      </c>
      <c r="C99" s="23" t="s">
        <v>316</v>
      </c>
      <c r="D99" s="3"/>
    </row>
    <row r="100" spans="2:4" ht="40.200000000000003" customHeight="1" x14ac:dyDescent="0.25">
      <c r="B100" s="22" t="s">
        <v>318</v>
      </c>
      <c r="C100" s="23" t="s">
        <v>10</v>
      </c>
      <c r="D100" s="3"/>
    </row>
    <row r="101" spans="2:4" ht="40.200000000000003" customHeight="1" x14ac:dyDescent="0.25">
      <c r="B101" s="22" t="s">
        <v>321</v>
      </c>
      <c r="C101" s="23" t="s">
        <v>10</v>
      </c>
      <c r="D101" s="3"/>
    </row>
    <row r="102" spans="2:4" ht="40.200000000000003" customHeight="1" x14ac:dyDescent="0.25">
      <c r="B102" s="22" t="s">
        <v>324</v>
      </c>
      <c r="C102" s="23" t="s">
        <v>211</v>
      </c>
      <c r="D102" s="3"/>
    </row>
    <row r="103" spans="2:4" ht="40.200000000000003" customHeight="1" x14ac:dyDescent="0.25">
      <c r="B103" s="22" t="s">
        <v>664</v>
      </c>
      <c r="C103" s="23" t="s">
        <v>10</v>
      </c>
      <c r="D103" s="3"/>
    </row>
    <row r="104" spans="2:4" ht="40.200000000000003" customHeight="1" x14ac:dyDescent="0.25">
      <c r="B104" s="22" t="s">
        <v>326</v>
      </c>
      <c r="C104" s="23" t="s">
        <v>10</v>
      </c>
      <c r="D104" s="3"/>
    </row>
    <row r="105" spans="2:4" ht="40.200000000000003" customHeight="1" x14ac:dyDescent="0.25">
      <c r="B105" s="22" t="s">
        <v>329</v>
      </c>
      <c r="C105" s="23" t="s">
        <v>232</v>
      </c>
      <c r="D105" s="3"/>
    </row>
    <row r="106" spans="2:4" ht="40.200000000000003" customHeight="1" x14ac:dyDescent="0.25">
      <c r="B106" s="22" t="s">
        <v>332</v>
      </c>
      <c r="C106" s="23" t="s">
        <v>232</v>
      </c>
      <c r="D106" s="3"/>
    </row>
    <row r="107" spans="2:4" ht="40.200000000000003" customHeight="1" x14ac:dyDescent="0.25">
      <c r="B107" s="22" t="s">
        <v>335</v>
      </c>
      <c r="C107" s="23" t="s">
        <v>15</v>
      </c>
      <c r="D107" s="3"/>
    </row>
    <row r="108" spans="2:4" ht="40.200000000000003" customHeight="1" x14ac:dyDescent="0.25">
      <c r="B108" s="22" t="s">
        <v>338</v>
      </c>
      <c r="C108" s="23" t="s">
        <v>341</v>
      </c>
      <c r="D108" s="3"/>
    </row>
    <row r="109" spans="2:4" ht="40.200000000000003" customHeight="1" x14ac:dyDescent="0.25">
      <c r="B109" s="22" t="s">
        <v>343</v>
      </c>
      <c r="C109" s="23" t="s">
        <v>10</v>
      </c>
      <c r="D109" s="3"/>
    </row>
    <row r="110" spans="2:4" ht="40.200000000000003" customHeight="1" x14ac:dyDescent="0.25">
      <c r="B110" s="22" t="s">
        <v>346</v>
      </c>
      <c r="C110" s="23" t="s">
        <v>10</v>
      </c>
      <c r="D110" s="3"/>
    </row>
    <row r="111" spans="2:4" ht="40.200000000000003" customHeight="1" x14ac:dyDescent="0.25">
      <c r="B111" s="22" t="s">
        <v>349</v>
      </c>
      <c r="C111" s="23" t="s">
        <v>10</v>
      </c>
      <c r="D111" s="3"/>
    </row>
    <row r="112" spans="2:4" ht="40.200000000000003" customHeight="1" x14ac:dyDescent="0.25">
      <c r="B112" s="22" t="s">
        <v>351</v>
      </c>
      <c r="C112" s="23" t="s">
        <v>10</v>
      </c>
      <c r="D112" s="3"/>
    </row>
    <row r="113" spans="2:4" ht="40.200000000000003" customHeight="1" x14ac:dyDescent="0.25">
      <c r="B113" s="22" t="s">
        <v>352</v>
      </c>
      <c r="C113" s="23" t="s">
        <v>10</v>
      </c>
      <c r="D113" s="3"/>
    </row>
    <row r="114" spans="2:4" ht="40.200000000000003" customHeight="1" x14ac:dyDescent="0.25">
      <c r="B114" s="22" t="s">
        <v>355</v>
      </c>
      <c r="C114" s="23" t="s">
        <v>10</v>
      </c>
      <c r="D114" s="3"/>
    </row>
    <row r="115" spans="2:4" ht="40.200000000000003" customHeight="1" x14ac:dyDescent="0.25">
      <c r="B115" s="22" t="s">
        <v>652</v>
      </c>
      <c r="C115" s="23" t="s">
        <v>358</v>
      </c>
      <c r="D115" s="3"/>
    </row>
    <row r="116" spans="2:4" ht="40.200000000000003" customHeight="1" x14ac:dyDescent="0.25">
      <c r="B116" s="22" t="s">
        <v>359</v>
      </c>
      <c r="C116" s="23" t="s">
        <v>15</v>
      </c>
      <c r="D116" s="3"/>
    </row>
    <row r="117" spans="2:4" ht="40.200000000000003" customHeight="1" x14ac:dyDescent="0.25">
      <c r="B117" s="22" t="s">
        <v>667</v>
      </c>
      <c r="C117" s="23" t="s">
        <v>10</v>
      </c>
      <c r="D117" s="3"/>
    </row>
    <row r="118" spans="2:4" ht="40.200000000000003" customHeight="1" x14ac:dyDescent="0.25">
      <c r="B118" s="22" t="s">
        <v>362</v>
      </c>
      <c r="C118" s="23" t="s">
        <v>10</v>
      </c>
      <c r="D118" s="3"/>
    </row>
    <row r="119" spans="2:4" ht="40.200000000000003" customHeight="1" x14ac:dyDescent="0.25">
      <c r="B119" s="22" t="s">
        <v>365</v>
      </c>
      <c r="C119" s="23" t="s">
        <v>10</v>
      </c>
      <c r="D119" s="3"/>
    </row>
    <row r="120" spans="2:4" ht="40.200000000000003" customHeight="1" x14ac:dyDescent="0.25">
      <c r="B120" s="22" t="s">
        <v>615</v>
      </c>
      <c r="C120" s="23" t="s">
        <v>10</v>
      </c>
      <c r="D120" s="3"/>
    </row>
    <row r="121" spans="2:4" ht="40.200000000000003" customHeight="1" x14ac:dyDescent="0.25">
      <c r="B121" s="22" t="s">
        <v>369</v>
      </c>
      <c r="C121" s="23" t="s">
        <v>15</v>
      </c>
      <c r="D121" s="3"/>
    </row>
    <row r="122" spans="2:4" ht="40.200000000000003" customHeight="1" x14ac:dyDescent="0.25">
      <c r="B122" s="22" t="s">
        <v>372</v>
      </c>
      <c r="C122" s="23" t="s">
        <v>10</v>
      </c>
      <c r="D122" s="3"/>
    </row>
    <row r="123" spans="2:4" ht="40.200000000000003" customHeight="1" x14ac:dyDescent="0.25">
      <c r="B123" s="22" t="s">
        <v>375</v>
      </c>
      <c r="C123" s="23" t="s">
        <v>15</v>
      </c>
      <c r="D123" s="3"/>
    </row>
    <row r="124" spans="2:4" ht="40.200000000000003" customHeight="1" x14ac:dyDescent="0.25">
      <c r="B124" s="22" t="s">
        <v>378</v>
      </c>
      <c r="C124" s="23" t="s">
        <v>380</v>
      </c>
      <c r="D124" s="3"/>
    </row>
    <row r="125" spans="2:4" ht="40.200000000000003" customHeight="1" x14ac:dyDescent="0.25">
      <c r="B125" s="22" t="s">
        <v>381</v>
      </c>
      <c r="C125" s="23" t="s">
        <v>158</v>
      </c>
      <c r="D125" s="3"/>
    </row>
    <row r="126" spans="2:4" ht="40.200000000000003" customHeight="1" x14ac:dyDescent="0.25">
      <c r="B126" s="22" t="s">
        <v>385</v>
      </c>
      <c r="C126" s="23" t="s">
        <v>10</v>
      </c>
      <c r="D126" s="3"/>
    </row>
    <row r="127" spans="2:4" ht="40.200000000000003" customHeight="1" x14ac:dyDescent="0.25">
      <c r="B127" s="22" t="s">
        <v>388</v>
      </c>
      <c r="C127" s="23" t="s">
        <v>10</v>
      </c>
      <c r="D127" s="3"/>
    </row>
    <row r="128" spans="2:4" ht="40.200000000000003" customHeight="1" x14ac:dyDescent="0.25">
      <c r="B128" s="22" t="s">
        <v>390</v>
      </c>
      <c r="C128" s="23" t="s">
        <v>10</v>
      </c>
      <c r="D128" s="3"/>
    </row>
    <row r="129" spans="2:4" ht="40.200000000000003" customHeight="1" x14ac:dyDescent="0.25">
      <c r="B129" s="22" t="s">
        <v>393</v>
      </c>
      <c r="C129" s="23" t="s">
        <v>10</v>
      </c>
      <c r="D129" s="3"/>
    </row>
    <row r="130" spans="2:4" ht="40.200000000000003" customHeight="1" x14ac:dyDescent="0.25">
      <c r="B130" s="22" t="s">
        <v>396</v>
      </c>
      <c r="C130" s="23" t="s">
        <v>15</v>
      </c>
      <c r="D130" s="3"/>
    </row>
    <row r="131" spans="2:4" ht="40.200000000000003" customHeight="1" x14ac:dyDescent="0.25">
      <c r="B131" s="22" t="s">
        <v>399</v>
      </c>
      <c r="C131" s="23" t="s">
        <v>10</v>
      </c>
      <c r="D131" s="3"/>
    </row>
    <row r="132" spans="2:4" ht="40.200000000000003" customHeight="1" x14ac:dyDescent="0.25">
      <c r="B132" s="22" t="s">
        <v>402</v>
      </c>
      <c r="C132" s="23" t="s">
        <v>10</v>
      </c>
      <c r="D132" s="3"/>
    </row>
    <row r="133" spans="2:4" ht="40.200000000000003" customHeight="1" x14ac:dyDescent="0.25">
      <c r="B133" s="22" t="s">
        <v>405</v>
      </c>
      <c r="C133" s="23" t="s">
        <v>10</v>
      </c>
      <c r="D133" s="3"/>
    </row>
    <row r="134" spans="2:4" ht="40.200000000000003" customHeight="1" x14ac:dyDescent="0.25">
      <c r="B134" s="22" t="s">
        <v>688</v>
      </c>
      <c r="C134" s="23" t="s">
        <v>190</v>
      </c>
      <c r="D134" s="3"/>
    </row>
    <row r="135" spans="2:4" ht="40.200000000000003" customHeight="1" x14ac:dyDescent="0.25">
      <c r="B135" s="22" t="s">
        <v>409</v>
      </c>
      <c r="C135" s="23" t="s">
        <v>10</v>
      </c>
      <c r="D135" s="3"/>
    </row>
    <row r="136" spans="2:4" ht="40.200000000000003" customHeight="1" x14ac:dyDescent="0.25">
      <c r="B136" s="22" t="s">
        <v>411</v>
      </c>
      <c r="C136" s="23" t="s">
        <v>10</v>
      </c>
      <c r="D136" s="3"/>
    </row>
    <row r="137" spans="2:4" ht="40.200000000000003" customHeight="1" x14ac:dyDescent="0.25">
      <c r="B137" s="22" t="s">
        <v>414</v>
      </c>
      <c r="C137" s="23" t="s">
        <v>15</v>
      </c>
      <c r="D137" s="3"/>
    </row>
    <row r="138" spans="2:4" ht="40.200000000000003" customHeight="1" x14ac:dyDescent="0.25">
      <c r="B138" s="22" t="s">
        <v>416</v>
      </c>
      <c r="C138" s="23" t="s">
        <v>10</v>
      </c>
      <c r="D138" s="3"/>
    </row>
    <row r="139" spans="2:4" ht="40.200000000000003" customHeight="1" x14ac:dyDescent="0.25">
      <c r="B139" s="22" t="s">
        <v>419</v>
      </c>
      <c r="C139" s="23" t="s">
        <v>10</v>
      </c>
      <c r="D139" s="3"/>
    </row>
    <row r="140" spans="2:4" ht="40.200000000000003" customHeight="1" x14ac:dyDescent="0.25">
      <c r="B140" s="22" t="s">
        <v>422</v>
      </c>
      <c r="C140" s="23" t="s">
        <v>15</v>
      </c>
      <c r="D140" s="3"/>
    </row>
    <row r="141" spans="2:4" ht="40.200000000000003" customHeight="1" x14ac:dyDescent="0.25">
      <c r="B141" s="22" t="s">
        <v>425</v>
      </c>
      <c r="C141" s="23" t="s">
        <v>10</v>
      </c>
      <c r="D141" s="3"/>
    </row>
    <row r="142" spans="2:4" ht="40.200000000000003" customHeight="1" x14ac:dyDescent="0.25">
      <c r="B142" s="22" t="s">
        <v>429</v>
      </c>
      <c r="C142" s="23" t="s">
        <v>15</v>
      </c>
      <c r="D142" s="3"/>
    </row>
    <row r="143" spans="2:4" ht="40.200000000000003" customHeight="1" x14ac:dyDescent="0.25">
      <c r="B143" s="22" t="s">
        <v>432</v>
      </c>
      <c r="C143" s="23" t="s">
        <v>434</v>
      </c>
      <c r="D143" s="3"/>
    </row>
    <row r="144" spans="2:4" ht="40.200000000000003" customHeight="1" x14ac:dyDescent="0.25">
      <c r="B144" s="22" t="s">
        <v>435</v>
      </c>
      <c r="C144" s="23" t="s">
        <v>10</v>
      </c>
      <c r="D144" s="3"/>
    </row>
    <row r="145" spans="2:4" ht="40.200000000000003" customHeight="1" x14ac:dyDescent="0.25">
      <c r="B145" s="22" t="s">
        <v>438</v>
      </c>
      <c r="C145" s="23" t="s">
        <v>190</v>
      </c>
      <c r="D145" s="3"/>
    </row>
    <row r="146" spans="2:4" ht="40.200000000000003" customHeight="1" x14ac:dyDescent="0.25">
      <c r="B146" s="22" t="s">
        <v>687</v>
      </c>
      <c r="C146" s="23" t="s">
        <v>618</v>
      </c>
      <c r="D146" s="3"/>
    </row>
    <row r="147" spans="2:4" ht="40.200000000000003" customHeight="1" x14ac:dyDescent="0.25">
      <c r="B147" s="22" t="s">
        <v>440</v>
      </c>
      <c r="C147" s="23" t="s">
        <v>10</v>
      </c>
      <c r="D147" s="3"/>
    </row>
    <row r="148" spans="2:4" ht="40.200000000000003" customHeight="1" x14ac:dyDescent="0.25">
      <c r="B148" s="22" t="s">
        <v>675</v>
      </c>
      <c r="C148" s="23" t="s">
        <v>10</v>
      </c>
      <c r="D148" s="3"/>
    </row>
    <row r="149" spans="2:4" ht="40.200000000000003" customHeight="1" x14ac:dyDescent="0.25">
      <c r="B149" s="22" t="s">
        <v>444</v>
      </c>
      <c r="C149" s="23" t="s">
        <v>10</v>
      </c>
      <c r="D149" s="3"/>
    </row>
    <row r="150" spans="2:4" ht="40.200000000000003" customHeight="1" x14ac:dyDescent="0.25">
      <c r="B150" s="22" t="s">
        <v>449</v>
      </c>
      <c r="C150" s="23" t="s">
        <v>10</v>
      </c>
      <c r="D150" s="3"/>
    </row>
    <row r="151" spans="2:4" ht="40.200000000000003" customHeight="1" x14ac:dyDescent="0.25">
      <c r="B151" s="22" t="s">
        <v>452</v>
      </c>
      <c r="C151" s="23" t="s">
        <v>10</v>
      </c>
      <c r="D151" s="3"/>
    </row>
    <row r="152" spans="2:4" ht="40.200000000000003" customHeight="1" x14ac:dyDescent="0.25">
      <c r="B152" s="22" t="s">
        <v>455</v>
      </c>
      <c r="C152" s="23" t="s">
        <v>10</v>
      </c>
      <c r="D152" s="3"/>
    </row>
    <row r="153" spans="2:4" ht="40.200000000000003" customHeight="1" x14ac:dyDescent="0.25">
      <c r="B153" s="22" t="s">
        <v>458</v>
      </c>
      <c r="C153" s="23" t="s">
        <v>10</v>
      </c>
      <c r="D153" s="3"/>
    </row>
    <row r="154" spans="2:4" ht="40.200000000000003" customHeight="1" x14ac:dyDescent="0.25">
      <c r="B154" s="22" t="s">
        <v>461</v>
      </c>
      <c r="C154" s="23" t="s">
        <v>10</v>
      </c>
      <c r="D154" s="3"/>
    </row>
    <row r="155" spans="2:4" ht="40.200000000000003" customHeight="1" x14ac:dyDescent="0.25">
      <c r="B155" s="22" t="s">
        <v>464</v>
      </c>
      <c r="C155" s="23" t="s">
        <v>190</v>
      </c>
      <c r="D155" s="3"/>
    </row>
    <row r="156" spans="2:4" ht="40.200000000000003" customHeight="1" x14ac:dyDescent="0.25">
      <c r="B156" s="22" t="s">
        <v>467</v>
      </c>
      <c r="C156" s="23" t="s">
        <v>10</v>
      </c>
      <c r="D156" s="3"/>
    </row>
    <row r="157" spans="2:4" ht="40.200000000000003" customHeight="1" x14ac:dyDescent="0.25">
      <c r="B157" s="22" t="s">
        <v>470</v>
      </c>
      <c r="C157" s="23" t="s">
        <v>15</v>
      </c>
      <c r="D157" s="3"/>
    </row>
    <row r="158" spans="2:4" ht="40.200000000000003" customHeight="1" x14ac:dyDescent="0.25">
      <c r="B158" s="22" t="s">
        <v>473</v>
      </c>
      <c r="C158" s="23" t="s">
        <v>15</v>
      </c>
      <c r="D158" s="3"/>
    </row>
    <row r="159" spans="2:4" ht="40.200000000000003" customHeight="1" x14ac:dyDescent="0.25">
      <c r="B159" s="22" t="s">
        <v>476</v>
      </c>
      <c r="C159" s="23" t="s">
        <v>10</v>
      </c>
      <c r="D159" s="3"/>
    </row>
    <row r="160" spans="2:4" ht="40.200000000000003" customHeight="1" x14ac:dyDescent="0.25">
      <c r="B160" s="22" t="s">
        <v>479</v>
      </c>
      <c r="C160" s="23" t="s">
        <v>10</v>
      </c>
      <c r="D160" s="3"/>
    </row>
    <row r="161" spans="2:4" ht="40.200000000000003" customHeight="1" x14ac:dyDescent="0.25">
      <c r="B161" s="22" t="s">
        <v>482</v>
      </c>
      <c r="C161" s="23" t="s">
        <v>10</v>
      </c>
      <c r="D161" s="3"/>
    </row>
    <row r="162" spans="2:4" ht="40.200000000000003" customHeight="1" x14ac:dyDescent="0.25">
      <c r="B162" s="22" t="s">
        <v>485</v>
      </c>
      <c r="C162" s="23" t="s">
        <v>10</v>
      </c>
      <c r="D162" s="3"/>
    </row>
    <row r="163" spans="2:4" ht="40.200000000000003" customHeight="1" x14ac:dyDescent="0.25">
      <c r="B163" s="22" t="s">
        <v>488</v>
      </c>
      <c r="C163" s="23" t="s">
        <v>10</v>
      </c>
      <c r="D163" s="3"/>
    </row>
    <row r="164" spans="2:4" ht="40.200000000000003" customHeight="1" x14ac:dyDescent="0.25">
      <c r="B164" s="22" t="s">
        <v>491</v>
      </c>
      <c r="C164" s="23" t="s">
        <v>10</v>
      </c>
      <c r="D164" s="3"/>
    </row>
    <row r="165" spans="2:4" ht="40.200000000000003" customHeight="1" x14ac:dyDescent="0.25">
      <c r="B165" s="22" t="s">
        <v>494</v>
      </c>
      <c r="C165" s="23" t="s">
        <v>15</v>
      </c>
      <c r="D165" s="3"/>
    </row>
    <row r="166" spans="2:4" ht="40.200000000000003" customHeight="1" x14ac:dyDescent="0.25">
      <c r="B166" s="22" t="s">
        <v>497</v>
      </c>
      <c r="C166" s="23" t="s">
        <v>10</v>
      </c>
      <c r="D166" s="3"/>
    </row>
    <row r="167" spans="2:4" ht="40.200000000000003" customHeight="1" x14ac:dyDescent="0.25">
      <c r="B167" s="22" t="s">
        <v>500</v>
      </c>
      <c r="C167" s="23" t="s">
        <v>10</v>
      </c>
      <c r="D167" s="3"/>
    </row>
    <row r="168" spans="2:4" ht="40.200000000000003" customHeight="1" x14ac:dyDescent="0.25">
      <c r="B168" s="22" t="s">
        <v>503</v>
      </c>
      <c r="C168" s="23" t="s">
        <v>10</v>
      </c>
      <c r="D168" s="3"/>
    </row>
    <row r="169" spans="2:4" ht="40.200000000000003" customHeight="1" x14ac:dyDescent="0.25">
      <c r="B169" s="22" t="s">
        <v>506</v>
      </c>
      <c r="C169" s="23" t="s">
        <v>10</v>
      </c>
      <c r="D169" s="3"/>
    </row>
    <row r="170" spans="2:4" ht="40.200000000000003" customHeight="1" x14ac:dyDescent="0.25">
      <c r="B170" s="22" t="s">
        <v>509</v>
      </c>
      <c r="C170" s="23" t="s">
        <v>10</v>
      </c>
      <c r="D170" s="3"/>
    </row>
    <row r="171" spans="2:4" ht="40.200000000000003" customHeight="1" x14ac:dyDescent="0.25">
      <c r="B171" s="22" t="s">
        <v>512</v>
      </c>
      <c r="C171" s="23" t="s">
        <v>190</v>
      </c>
      <c r="D171" s="3"/>
    </row>
    <row r="172" spans="2:4" ht="40.200000000000003" customHeight="1" x14ac:dyDescent="0.25">
      <c r="B172" s="22" t="s">
        <v>515</v>
      </c>
      <c r="C172" s="23" t="s">
        <v>10</v>
      </c>
      <c r="D172" s="3"/>
    </row>
    <row r="173" spans="2:4" ht="40.200000000000003" customHeight="1" x14ac:dyDescent="0.25">
      <c r="B173" s="22" t="s">
        <v>518</v>
      </c>
      <c r="C173" s="23" t="s">
        <v>10</v>
      </c>
      <c r="D173" s="3"/>
    </row>
    <row r="174" spans="2:4" ht="40.200000000000003" customHeight="1" x14ac:dyDescent="0.25">
      <c r="B174" s="22" t="s">
        <v>521</v>
      </c>
      <c r="C174" s="23" t="s">
        <v>211</v>
      </c>
      <c r="D174" s="3"/>
    </row>
    <row r="175" spans="2:4" ht="40.200000000000003" customHeight="1" x14ac:dyDescent="0.25">
      <c r="B175" s="22" t="s">
        <v>524</v>
      </c>
      <c r="C175" s="23" t="s">
        <v>10</v>
      </c>
      <c r="D175" s="3"/>
    </row>
    <row r="176" spans="2:4" ht="40.200000000000003" customHeight="1" x14ac:dyDescent="0.25">
      <c r="B176" s="22" t="s">
        <v>527</v>
      </c>
      <c r="C176" s="23" t="s">
        <v>316</v>
      </c>
      <c r="D176" s="3"/>
    </row>
    <row r="177" spans="2:4" ht="40.200000000000003" customHeight="1" x14ac:dyDescent="0.25">
      <c r="B177" s="22" t="s">
        <v>530</v>
      </c>
      <c r="C177" s="23" t="s">
        <v>10</v>
      </c>
      <c r="D177" s="3"/>
    </row>
    <row r="178" spans="2:4" ht="40.200000000000003" customHeight="1" x14ac:dyDescent="0.25">
      <c r="B178" s="22" t="s">
        <v>623</v>
      </c>
      <c r="C178" s="23" t="s">
        <v>15</v>
      </c>
      <c r="D178" s="3"/>
    </row>
    <row r="179" spans="2:4" ht="40.200000000000003" customHeight="1" x14ac:dyDescent="0.25">
      <c r="B179" s="22" t="s">
        <v>532</v>
      </c>
      <c r="C179" s="23" t="s">
        <v>15</v>
      </c>
      <c r="D179" s="3"/>
    </row>
    <row r="180" spans="2:4" ht="40.200000000000003" customHeight="1" x14ac:dyDescent="0.25">
      <c r="B180" s="22" t="s">
        <v>535</v>
      </c>
      <c r="C180" s="23" t="s">
        <v>10</v>
      </c>
      <c r="D180" s="3"/>
    </row>
    <row r="181" spans="2:4" ht="40.200000000000003" customHeight="1" x14ac:dyDescent="0.25">
      <c r="B181" s="22" t="s">
        <v>538</v>
      </c>
      <c r="C181" s="23" t="s">
        <v>15</v>
      </c>
      <c r="D181" s="3"/>
    </row>
    <row r="182" spans="2:4" ht="40.200000000000003" customHeight="1" x14ac:dyDescent="0.25">
      <c r="B182" s="22" t="s">
        <v>541</v>
      </c>
      <c r="C182" s="23" t="s">
        <v>10</v>
      </c>
      <c r="D182" s="3"/>
    </row>
    <row r="183" spans="2:4" ht="40.200000000000003" customHeight="1" x14ac:dyDescent="0.25">
      <c r="B183" s="22" t="s">
        <v>544</v>
      </c>
      <c r="C183" s="23" t="s">
        <v>10</v>
      </c>
      <c r="D183" s="3"/>
    </row>
    <row r="184" spans="2:4" ht="40.200000000000003" customHeight="1" x14ac:dyDescent="0.25">
      <c r="B184" s="22" t="s">
        <v>547</v>
      </c>
      <c r="C184" s="23" t="s">
        <v>10</v>
      </c>
      <c r="D184" s="3"/>
    </row>
    <row r="185" spans="2:4" ht="40.200000000000003" customHeight="1" x14ac:dyDescent="0.25">
      <c r="B185" s="22" t="s">
        <v>549</v>
      </c>
      <c r="C185" s="23" t="s">
        <v>15</v>
      </c>
      <c r="D185" s="3"/>
    </row>
    <row r="186" spans="2:4" ht="40.200000000000003" customHeight="1" x14ac:dyDescent="0.25">
      <c r="B186" s="22" t="s">
        <v>552</v>
      </c>
      <c r="C186" s="23" t="s">
        <v>10</v>
      </c>
      <c r="D186" s="3"/>
    </row>
    <row r="187" spans="2:4" ht="40.200000000000003" customHeight="1" x14ac:dyDescent="0.25">
      <c r="B187" s="22" t="s">
        <v>555</v>
      </c>
      <c r="C187" s="23" t="s">
        <v>15</v>
      </c>
      <c r="D187" s="3"/>
    </row>
    <row r="188" spans="2:4" ht="40.200000000000003" customHeight="1" x14ac:dyDescent="0.25">
      <c r="B188" s="22" t="s">
        <v>559</v>
      </c>
      <c r="C188" s="23" t="s">
        <v>10</v>
      </c>
      <c r="D188" s="3"/>
    </row>
    <row r="189" spans="2:4" ht="40.200000000000003" customHeight="1" x14ac:dyDescent="0.25">
      <c r="B189" s="22" t="s">
        <v>562</v>
      </c>
      <c r="C189" s="23" t="s">
        <v>232</v>
      </c>
      <c r="D189" s="3"/>
    </row>
    <row r="190" spans="2:4" ht="40.200000000000003" customHeight="1" x14ac:dyDescent="0.25">
      <c r="B190" s="22" t="s">
        <v>632</v>
      </c>
      <c r="C190" s="23" t="s">
        <v>10</v>
      </c>
      <c r="D190" s="3"/>
    </row>
    <row r="191" spans="2:4" ht="40.200000000000003" customHeight="1" x14ac:dyDescent="0.25">
      <c r="B191" s="22" t="s">
        <v>565</v>
      </c>
      <c r="C191" s="23" t="s">
        <v>10</v>
      </c>
      <c r="D191" s="3"/>
    </row>
    <row r="192" spans="2:4" ht="40.200000000000003" customHeight="1" x14ac:dyDescent="0.25">
      <c r="B192" s="22" t="s">
        <v>568</v>
      </c>
      <c r="C192" s="23" t="s">
        <v>10</v>
      </c>
      <c r="D192" s="3"/>
    </row>
    <row r="193" spans="2:4" ht="40.200000000000003" customHeight="1" x14ac:dyDescent="0.25">
      <c r="B193" s="22" t="s">
        <v>571</v>
      </c>
      <c r="C193" s="23" t="s">
        <v>10</v>
      </c>
      <c r="D193" s="3"/>
    </row>
    <row r="194" spans="2:4" ht="40.200000000000003" customHeight="1" x14ac:dyDescent="0.25">
      <c r="B194" s="22" t="s">
        <v>574</v>
      </c>
      <c r="C194" s="23" t="s">
        <v>577</v>
      </c>
      <c r="D194" s="3"/>
    </row>
    <row r="195" spans="2:4" ht="40.200000000000003" customHeight="1" x14ac:dyDescent="0.25">
      <c r="B195" s="22" t="s">
        <v>579</v>
      </c>
      <c r="C195" s="23" t="s">
        <v>15</v>
      </c>
      <c r="D195" s="3"/>
    </row>
    <row r="196" spans="2:4" ht="40.200000000000003" customHeight="1" thickBot="1" x14ac:dyDescent="0.3">
      <c r="B196" s="22" t="s">
        <v>581</v>
      </c>
      <c r="C196" s="23" t="s">
        <v>15</v>
      </c>
      <c r="D196" s="6"/>
    </row>
    <row r="197" spans="2:4" ht="40.049999999999997" customHeight="1" thickBot="1" x14ac:dyDescent="0.3">
      <c r="B197" s="22" t="s">
        <v>584</v>
      </c>
      <c r="C197" s="23" t="s">
        <v>630</v>
      </c>
      <c r="D197" s="47"/>
    </row>
    <row r="198" spans="2:4" ht="40.200000000000003" customHeight="1" x14ac:dyDescent="0.25">
      <c r="B198" s="22" t="s">
        <v>586</v>
      </c>
      <c r="C198" s="23" t="s">
        <v>197</v>
      </c>
      <c r="D198" s="4"/>
    </row>
    <row r="199" spans="2:4" ht="40.200000000000003" customHeight="1" x14ac:dyDescent="0.25">
      <c r="B199" s="22" t="s">
        <v>589</v>
      </c>
      <c r="C199" s="23" t="s">
        <v>232</v>
      </c>
      <c r="D199" s="3"/>
    </row>
    <row r="200" spans="2:4" ht="40.200000000000003" customHeight="1" x14ac:dyDescent="0.25">
      <c r="B200" s="22" t="s">
        <v>593</v>
      </c>
      <c r="C200" s="23" t="s">
        <v>10</v>
      </c>
      <c r="D200" s="3"/>
    </row>
    <row r="201" spans="2:4" ht="40.200000000000003" customHeight="1" x14ac:dyDescent="0.25">
      <c r="B201" s="49" t="s">
        <v>631</v>
      </c>
      <c r="C201" s="50" t="s">
        <v>680</v>
      </c>
      <c r="D201" s="51" t="s">
        <v>613</v>
      </c>
    </row>
    <row r="202" spans="2:4" ht="40.200000000000003" customHeight="1" x14ac:dyDescent="0.25">
      <c r="B202" s="29" t="s">
        <v>598</v>
      </c>
      <c r="C202" s="23" t="s">
        <v>21</v>
      </c>
      <c r="D202" s="3"/>
    </row>
    <row r="203" spans="2:4" ht="40.200000000000003" customHeight="1" x14ac:dyDescent="0.25">
      <c r="B203" s="22" t="s">
        <v>600</v>
      </c>
      <c r="C203" s="23" t="s">
        <v>611</v>
      </c>
      <c r="D203" s="3"/>
    </row>
    <row r="204" spans="2:4" ht="40.200000000000003" customHeight="1" x14ac:dyDescent="0.25">
      <c r="B204" s="22" t="s">
        <v>603</v>
      </c>
      <c r="C204" s="23" t="s">
        <v>612</v>
      </c>
      <c r="D204" s="3"/>
    </row>
    <row r="205" spans="2:4" ht="40.200000000000003" customHeight="1" x14ac:dyDescent="0.25">
      <c r="B205" s="22" t="s">
        <v>605</v>
      </c>
      <c r="C205" s="23" t="s">
        <v>21</v>
      </c>
      <c r="D205" s="3"/>
    </row>
    <row r="206" spans="2:4" ht="40.200000000000003" customHeight="1" x14ac:dyDescent="0.25">
      <c r="B206" s="22" t="s">
        <v>607</v>
      </c>
      <c r="C206" s="23" t="s">
        <v>591</v>
      </c>
      <c r="D206" s="3"/>
    </row>
    <row r="207" spans="2:4" ht="40.049999999999997" customHeight="1" x14ac:dyDescent="0.25">
      <c r="B207" s="22" t="s">
        <v>609</v>
      </c>
      <c r="C207" s="23" t="s">
        <v>591</v>
      </c>
      <c r="D207" s="48"/>
    </row>
    <row r="208" spans="2:4" x14ac:dyDescent="0.25">
      <c r="B208" s="7" t="s">
        <v>691</v>
      </c>
    </row>
  </sheetData>
  <mergeCells count="1">
    <mergeCell ref="B1:D1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98F7-9DE2-44F1-9BFE-580832884BC7}">
  <dimension ref="A1:C14"/>
  <sheetViews>
    <sheetView defaultGridColor="0" colorId="8" workbookViewId="0">
      <selection activeCell="D4" sqref="D4"/>
    </sheetView>
  </sheetViews>
  <sheetFormatPr baseColWidth="10" defaultColWidth="8.88671875" defaultRowHeight="13.2" x14ac:dyDescent="0.25"/>
  <cols>
    <col min="2" max="2" width="17.88671875" customWidth="1"/>
    <col min="3" max="3" width="22" customWidth="1"/>
    <col min="5" max="5" width="9.44140625" bestFit="1" customWidth="1"/>
  </cols>
  <sheetData>
    <row r="1" spans="1:3" x14ac:dyDescent="0.25">
      <c r="A1" s="10" t="s">
        <v>644</v>
      </c>
    </row>
    <row r="2" spans="1:3" x14ac:dyDescent="0.25">
      <c r="B2" s="11" t="s">
        <v>645</v>
      </c>
      <c r="C2" s="11"/>
    </row>
    <row r="3" spans="1:3" x14ac:dyDescent="0.25">
      <c r="B3" s="12" t="s">
        <v>646</v>
      </c>
      <c r="C3" s="12" t="s">
        <v>644</v>
      </c>
    </row>
    <row r="4" spans="1:3" ht="25.05" customHeight="1" x14ac:dyDescent="0.25">
      <c r="B4" s="13">
        <v>1</v>
      </c>
      <c r="C4" s="14">
        <v>13.6</v>
      </c>
    </row>
    <row r="5" spans="1:3" ht="25.05" customHeight="1" x14ac:dyDescent="0.25">
      <c r="B5" s="13">
        <v>251</v>
      </c>
      <c r="C5" s="14">
        <v>23.5</v>
      </c>
    </row>
    <row r="6" spans="1:3" ht="25.05" customHeight="1" x14ac:dyDescent="0.25">
      <c r="B6" s="13">
        <v>501</v>
      </c>
      <c r="C6" s="14">
        <v>33.299999999999997</v>
      </c>
    </row>
    <row r="7" spans="1:3" ht="25.05" customHeight="1" x14ac:dyDescent="0.25">
      <c r="B7" s="13">
        <v>751</v>
      </c>
      <c r="C7" s="14">
        <v>39.5</v>
      </c>
    </row>
    <row r="8" spans="1:3" ht="25.05" customHeight="1" x14ac:dyDescent="0.25">
      <c r="B8" s="13">
        <v>1001</v>
      </c>
      <c r="C8" s="14">
        <v>48</v>
      </c>
    </row>
    <row r="9" spans="1:3" ht="25.05" customHeight="1" x14ac:dyDescent="0.25">
      <c r="B9" s="13">
        <v>1251</v>
      </c>
      <c r="C9" s="14">
        <v>54.4</v>
      </c>
    </row>
    <row r="10" spans="1:3" ht="25.05" customHeight="1" x14ac:dyDescent="0.25">
      <c r="B10" s="13">
        <v>1501</v>
      </c>
      <c r="C10" s="14">
        <v>60.7</v>
      </c>
    </row>
    <row r="11" spans="1:3" ht="25.05" customHeight="1" x14ac:dyDescent="0.25">
      <c r="B11" s="13">
        <v>1751</v>
      </c>
      <c r="C11" s="14">
        <v>69.3</v>
      </c>
    </row>
    <row r="12" spans="1:3" ht="25.05" customHeight="1" x14ac:dyDescent="0.25">
      <c r="B12" s="13">
        <v>2001</v>
      </c>
      <c r="C12" s="14">
        <v>78</v>
      </c>
    </row>
    <row r="13" spans="1:3" ht="25.05" customHeight="1" x14ac:dyDescent="0.25">
      <c r="B13" s="13">
        <v>2501</v>
      </c>
      <c r="C13" s="14">
        <v>85.4</v>
      </c>
    </row>
    <row r="14" spans="1:3" ht="25.05" customHeight="1" x14ac:dyDescent="0.25">
      <c r="B14" s="13">
        <v>3001</v>
      </c>
      <c r="C14" s="14">
        <v>93.3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85A6-0FD2-45A2-B3FD-D41DFAC1644A}">
  <dimension ref="B2:F16"/>
  <sheetViews>
    <sheetView defaultGridColor="0" colorId="10" workbookViewId="0">
      <selection activeCell="D5" sqref="D5:D16"/>
    </sheetView>
  </sheetViews>
  <sheetFormatPr baseColWidth="10" defaultRowHeight="13.2" x14ac:dyDescent="0.25"/>
  <cols>
    <col min="2" max="2" width="15.5546875" customWidth="1"/>
    <col min="3" max="3" width="16.5546875" customWidth="1"/>
    <col min="4" max="4" width="16.6640625" customWidth="1"/>
  </cols>
  <sheetData>
    <row r="2" spans="2:6" x14ac:dyDescent="0.25">
      <c r="B2" s="92" t="s">
        <v>647</v>
      </c>
      <c r="C2" s="92"/>
      <c r="D2" s="92"/>
      <c r="F2" s="52">
        <v>0.4</v>
      </c>
    </row>
    <row r="3" spans="2:6" ht="13.8" thickBot="1" x14ac:dyDescent="0.3">
      <c r="B3" s="92"/>
      <c r="C3" s="92"/>
      <c r="D3" s="92"/>
    </row>
    <row r="4" spans="2:6" ht="28.05" customHeight="1" x14ac:dyDescent="0.25">
      <c r="B4" s="16" t="s">
        <v>648</v>
      </c>
      <c r="C4" s="17" t="s">
        <v>649</v>
      </c>
      <c r="D4" s="18" t="s">
        <v>650</v>
      </c>
    </row>
    <row r="5" spans="2:6" ht="28.05" customHeight="1" x14ac:dyDescent="0.25">
      <c r="B5" s="19">
        <v>1</v>
      </c>
      <c r="C5" s="19">
        <v>250</v>
      </c>
      <c r="D5" s="81">
        <v>13.6</v>
      </c>
      <c r="F5" s="20">
        <f>D5*40/100</f>
        <v>5.44</v>
      </c>
    </row>
    <row r="6" spans="2:6" ht="28.05" customHeight="1" x14ac:dyDescent="0.25">
      <c r="B6" s="19">
        <v>251</v>
      </c>
      <c r="C6" s="19">
        <v>500</v>
      </c>
      <c r="D6" s="82">
        <v>23.5</v>
      </c>
      <c r="F6" s="20">
        <f t="shared" ref="F6:F16" si="0">D6*40/100</f>
        <v>9.4</v>
      </c>
    </row>
    <row r="7" spans="2:6" ht="28.05" customHeight="1" x14ac:dyDescent="0.25">
      <c r="B7" s="19">
        <v>501</v>
      </c>
      <c r="C7" s="19">
        <v>750</v>
      </c>
      <c r="D7" s="82">
        <v>33.299999999999997</v>
      </c>
      <c r="F7" s="20">
        <f t="shared" si="0"/>
        <v>13.32</v>
      </c>
    </row>
    <row r="8" spans="2:6" ht="28.05" customHeight="1" x14ac:dyDescent="0.25">
      <c r="B8" s="19">
        <v>751</v>
      </c>
      <c r="C8" s="19">
        <v>1000</v>
      </c>
      <c r="D8" s="82">
        <v>39.5</v>
      </c>
      <c r="F8" s="20">
        <f t="shared" si="0"/>
        <v>15.8</v>
      </c>
    </row>
    <row r="9" spans="2:6" ht="28.05" customHeight="1" x14ac:dyDescent="0.25">
      <c r="B9" s="19">
        <v>1001</v>
      </c>
      <c r="C9" s="19">
        <v>1250</v>
      </c>
      <c r="D9" s="82">
        <v>48.01</v>
      </c>
      <c r="F9" s="20">
        <f t="shared" si="0"/>
        <v>19.203999999999997</v>
      </c>
    </row>
    <row r="10" spans="2:6" ht="28.05" customHeight="1" x14ac:dyDescent="0.25">
      <c r="B10" s="19">
        <v>1251</v>
      </c>
      <c r="C10" s="19">
        <v>1500</v>
      </c>
      <c r="D10" s="82">
        <v>54.4</v>
      </c>
      <c r="F10" s="20">
        <f t="shared" si="0"/>
        <v>21.76</v>
      </c>
    </row>
    <row r="11" spans="2:6" ht="28.05" customHeight="1" x14ac:dyDescent="0.25">
      <c r="B11" s="19">
        <v>1501</v>
      </c>
      <c r="C11" s="19">
        <v>1750</v>
      </c>
      <c r="D11" s="82">
        <v>60.7</v>
      </c>
      <c r="F11" s="20">
        <f t="shared" si="0"/>
        <v>24.28</v>
      </c>
    </row>
    <row r="12" spans="2:6" ht="28.05" customHeight="1" x14ac:dyDescent="0.25">
      <c r="B12" s="19">
        <v>1751</v>
      </c>
      <c r="C12" s="19">
        <v>2000</v>
      </c>
      <c r="D12" s="82">
        <v>69.3</v>
      </c>
      <c r="F12" s="20">
        <f t="shared" si="0"/>
        <v>27.72</v>
      </c>
    </row>
    <row r="13" spans="2:6" ht="28.05" customHeight="1" x14ac:dyDescent="0.25">
      <c r="B13" s="19">
        <v>2001</v>
      </c>
      <c r="C13" s="19">
        <v>2500</v>
      </c>
      <c r="D13" s="82">
        <v>78.010000000000005</v>
      </c>
      <c r="F13" s="20">
        <f t="shared" si="0"/>
        <v>31.204000000000001</v>
      </c>
    </row>
    <row r="14" spans="2:6" ht="28.05" customHeight="1" x14ac:dyDescent="0.25">
      <c r="B14" s="19">
        <v>2501</v>
      </c>
      <c r="C14" s="19">
        <v>3000</v>
      </c>
      <c r="D14" s="82">
        <v>85.4</v>
      </c>
      <c r="F14" s="20">
        <f t="shared" si="0"/>
        <v>34.159999999999997</v>
      </c>
    </row>
    <row r="15" spans="2:6" ht="28.05" customHeight="1" x14ac:dyDescent="0.25">
      <c r="B15" s="19">
        <v>3001</v>
      </c>
      <c r="C15" s="19">
        <v>3500</v>
      </c>
      <c r="D15" s="82">
        <v>93.3</v>
      </c>
      <c r="F15" s="20">
        <f t="shared" si="0"/>
        <v>37.32</v>
      </c>
    </row>
    <row r="16" spans="2:6" ht="28.05" customHeight="1" x14ac:dyDescent="0.25">
      <c r="B16" s="19">
        <v>3501</v>
      </c>
      <c r="C16" s="19">
        <v>999999</v>
      </c>
      <c r="D16" s="82"/>
      <c r="F16" s="20">
        <f t="shared" si="0"/>
        <v>0</v>
      </c>
    </row>
  </sheetData>
  <mergeCells count="1">
    <mergeCell ref="B2: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Arrosants</vt:lpstr>
      <vt:lpstr>Feuille Pres</vt:lpstr>
      <vt:lpstr>Tarifs 40%</vt:lpstr>
      <vt:lpstr>Base tarifs</vt:lpstr>
      <vt:lpstr>Arrosants!Zone_d_impression</vt:lpstr>
      <vt:lpstr>'Feuille Pres'!Zone_d_impression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NASI</dc:creator>
  <cp:lastModifiedBy>Franck NASI</cp:lastModifiedBy>
  <cp:lastPrinted>2025-03-28T08:03:49Z</cp:lastPrinted>
  <dcterms:created xsi:type="dcterms:W3CDTF">2024-03-26T14:27:35Z</dcterms:created>
  <dcterms:modified xsi:type="dcterms:W3CDTF">2026-02-11T07:17:34Z</dcterms:modified>
</cp:coreProperties>
</file>